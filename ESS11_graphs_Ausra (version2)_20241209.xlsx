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st in Others" sheetId="1" r:id="rId4"/>
    <sheet state="visible" name="Trust in Institutions" sheetId="2" r:id="rId5"/>
    <sheet state="visible" name="Health and Health Services" sheetId="3" r:id="rId6"/>
    <sheet state="hidden" name="Sheet1" sheetId="4" r:id="rId7"/>
    <sheet state="visible" name="Europ Unif and Attach to Europ" sheetId="5" r:id="rId8"/>
    <sheet state="visible" name="Life Sat and Happiness" sheetId="6" r:id="rId9"/>
    <sheet state="visible" name="Econ Sat and HH Inc Adequacy" sheetId="7" r:id="rId10"/>
    <sheet state="visible" name="Immigration" sheetId="8" r:id="rId11"/>
    <sheet state="visible" name="Relig" sheetId="9" r:id="rId12"/>
    <sheet state="visible" name="Climate Change" sheetId="10" r:id="rId13"/>
    <sheet state="visible" name="Gender" sheetId="11" r:id="rId14"/>
    <sheet state="visible" name="Hlth inequalities" sheetId="12" r:id="rId15"/>
    <sheet state="hidden" name="C19 - Personal experience" sheetId="13" r:id="rId16"/>
    <sheet state="hidden" name="C19 - Prioritisations" sheetId="14" r:id="rId17"/>
    <sheet state="hidden" name="C19 - Satisfaction" sheetId="15" r:id="rId18"/>
    <sheet state="hidden" name="Economic Sat" sheetId="16" r:id="rId19"/>
    <sheet state="hidden" name="Religion" sheetId="17" r:id="rId20"/>
    <sheet state="hidden" name="Precarity" sheetId="18" r:id="rId21"/>
  </sheets>
  <definedNames/>
  <calcPr/>
  <extLst>
    <ext uri="GoogleSheetsCustomDataVersion2">
      <go:sheetsCustomData xmlns:go="http://customooxmlschemas.google.com/" r:id="rId22" roundtripDataChecksum="qvrBkgk/x0+I8iZsO5GzIHuv4W0VyGNbEk45QlnN5pQ="/>
    </ext>
  </extLst>
</workbook>
</file>

<file path=xl/sharedStrings.xml><?xml version="1.0" encoding="utf-8"?>
<sst xmlns="http://schemas.openxmlformats.org/spreadsheetml/2006/main" count="3672" uniqueCount="614">
  <si>
    <t>ESS Graphs</t>
  </si>
  <si>
    <t>A4 - Trust in Others</t>
  </si>
  <si>
    <t>Figure X: Average response to the question “generally speaking, would you say that most people can be trusted, or that you can’t be too careful in dealing with people?” in Ireland: 2002-2023</t>
  </si>
  <si>
    <t>ESS round</t>
  </si>
  <si>
    <t>Year</t>
  </si>
  <si>
    <t>Average Trust in Other People (anweight)</t>
  </si>
  <si>
    <t>2021/22</t>
  </si>
  <si>
    <t>ESS11</t>
  </si>
  <si>
    <t>&lt;Lower Secondary</t>
  </si>
  <si>
    <t>Lower Secondary</t>
  </si>
  <si>
    <t>Upper Secondary</t>
  </si>
  <si>
    <t>Advanced Vocational</t>
  </si>
  <si>
    <t>Tertiary</t>
  </si>
  <si>
    <t>Figure X: Response to question “generally speaking, would you say that most people can be trusted, or that you can’t be too careful in dealing with people?” in Ireland: 2023</t>
  </si>
  <si>
    <t>Lower Trust (0-4)</t>
  </si>
  <si>
    <t>Nautral answer (5)</t>
  </si>
  <si>
    <t>Higher Trust (6-10)</t>
  </si>
  <si>
    <t>Trust in Institutions</t>
  </si>
  <si>
    <t>ESS9</t>
  </si>
  <si>
    <t>Garda</t>
  </si>
  <si>
    <t>Low</t>
  </si>
  <si>
    <t>High</t>
  </si>
  <si>
    <t>garda_cat</t>
  </si>
  <si>
    <t>Freq.</t>
  </si>
  <si>
    <t>Percent</t>
  </si>
  <si>
    <t>Cum.</t>
  </si>
  <si>
    <t>Police</t>
  </si>
  <si>
    <t>Legal System</t>
  </si>
  <si>
    <t>Parliament</t>
  </si>
  <si>
    <t>Political Parties</t>
  </si>
  <si>
    <t>Politicians</t>
  </si>
  <si>
    <t>Higher Trust (6-11)</t>
  </si>
  <si>
    <t>Total</t>
  </si>
  <si>
    <t>Figure 2.1 - Per cent Indicating Low and High Trust in Political Actors and Institutions: 2018</t>
  </si>
  <si>
    <t>Figure X: Per cent Indicating Low and High Trust in Political Actors and Institutions: 2023</t>
  </si>
  <si>
    <t>Legal system</t>
  </si>
  <si>
    <t>legsys_cat</t>
  </si>
  <si>
    <t xml:space="preserve">Parliament </t>
  </si>
  <si>
    <t>parl_cat</t>
  </si>
  <si>
    <t>polpart_cat</t>
  </si>
  <si>
    <t>polit_cat</t>
  </si>
  <si>
    <t>Figure X: Mean Levels of Trust in Political Actors and Institutions, 2002-2023</t>
  </si>
  <si>
    <t>2021/2022</t>
  </si>
  <si>
    <t>Figure X: Per cent Indicating Relatively High Levels of Trust in Politics and Institutions: 2023</t>
  </si>
  <si>
    <t>Health and Health Services</t>
  </si>
  <si>
    <t xml:space="preserve"> essround = 1</t>
  </si>
  <si>
    <t>Very good</t>
  </si>
  <si>
    <t>health_cat</t>
  </si>
  <si>
    <t>Fair/bad/very bad</t>
  </si>
  <si>
    <t>Figure X: The percentage of the population who report “Very Good” or “Fair/Bad/Very Bad” health in Ireland: 2002-2023</t>
  </si>
  <si>
    <t>Good</t>
  </si>
  <si>
    <t>-&gt; essround = 2</t>
  </si>
  <si>
    <t>-&gt; essround = 3</t>
  </si>
  <si>
    <t>-&gt; essround = 4</t>
  </si>
  <si>
    <t>-&gt; essround = 5</t>
  </si>
  <si>
    <t>-&gt; essround = 6</t>
  </si>
  <si>
    <t>-&gt; essround = 7</t>
  </si>
  <si>
    <t>-&gt; essround = 8</t>
  </si>
  <si>
    <t>-&gt; essround = 9</t>
  </si>
  <si>
    <t>-&gt; essround = 10</t>
  </si>
  <si>
    <t>&gt; essround = 11</t>
  </si>
  <si>
    <t>EMPLOYMENT STATUS</t>
  </si>
  <si>
    <t>&lt; Lower Secondary</t>
  </si>
  <si>
    <t>In paid work</t>
  </si>
  <si>
    <t>Unemployed, looking for job</t>
  </si>
  <si>
    <t>Figure X: The percentage of the population who report “Very Good” or “Fair/Bad/Very Bad” health by employment status and education in Ireland: 2023</t>
  </si>
  <si>
    <t>EDUCATION</t>
  </si>
  <si>
    <t xml:space="preserve">Income decile </t>
  </si>
  <si>
    <t>Bottom</t>
  </si>
  <si>
    <t>Top</t>
  </si>
  <si>
    <t>INCOME DISTRIBUTION</t>
  </si>
  <si>
    <t xml:space="preserve">Percent in good health </t>
  </si>
  <si>
    <t>good_health</t>
  </si>
  <si>
    <t>Figure X: Health and the Income Distribution: 2023</t>
  </si>
  <si>
    <t>Otherwise</t>
  </si>
  <si>
    <t xml:space="preserve">25 and under </t>
  </si>
  <si>
    <t>26-35</t>
  </si>
  <si>
    <t>36-45</t>
  </si>
  <si>
    <t xml:space="preserve"> 46-55</t>
  </si>
  <si>
    <t>56-65</t>
  </si>
  <si>
    <t xml:space="preserve">  66-75</t>
  </si>
  <si>
    <t xml:space="preserve"> 76 plus</t>
  </si>
  <si>
    <t>Satisfaction with the healthcare system</t>
  </si>
  <si>
    <t>Satisfied with healtcare system</t>
  </si>
  <si>
    <t>25 and under</t>
  </si>
  <si>
    <t>Very good health</t>
  </si>
  <si>
    <t>sat_health</t>
  </si>
  <si>
    <t>Figure X: The percentage of the population who report higher satisfaction with the health care system in Ireland and “very good” health by age categories: 2023</t>
  </si>
  <si>
    <t>Satisfied</t>
  </si>
  <si>
    <t>Dissatisfied</t>
  </si>
  <si>
    <t>with</t>
  </si>
  <si>
    <t>Very good health'</t>
  </si>
  <si>
    <t>under</t>
  </si>
  <si>
    <t>Good health</t>
  </si>
  <si>
    <t>Happy</t>
  </si>
  <si>
    <t>Figure X: Happiness, General Health and the Income Distribution: 2023</t>
  </si>
  <si>
    <t>happy_b</t>
  </si>
  <si>
    <t>Unhappy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</si>
  <si>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</si>
  <si>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</si>
  <si>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</si>
  <si>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</si>
  <si>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</si>
  <si>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</si>
  <si>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</si>
  <si>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</si>
  <si>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</si>
  <si>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European Unification and Attachment to Europe</t>
  </si>
  <si>
    <t>Trust in EU Parliament</t>
  </si>
  <si>
    <t>Pro-European</t>
  </si>
  <si>
    <t>Sceptical European</t>
  </si>
  <si>
    <t>eup_cat</t>
  </si>
  <si>
    <t>Attitude to European unification</t>
  </si>
  <si>
    <t>Emotional attachment to Europe</t>
  </si>
  <si>
    <t>Neutral answer (5)</t>
  </si>
  <si>
    <t>Figure 4.1: Pro- and Sceptical attitudes to Europe: Trust in Parliament, 
Attitudes to forther EU Unification, and Emotioncal Attachment to Europe: 2018</t>
  </si>
  <si>
    <t>Figure X: Perception of Trust in EU Parliament, Acceptance of further EU Unification, and Emotional Attachment to Europe, 2023</t>
  </si>
  <si>
    <t>eunif_cat</t>
  </si>
  <si>
    <t>emat_cat</t>
  </si>
  <si>
    <t xml:space="preserve">Trust in EU Parliament </t>
  </si>
  <si>
    <t>essround =</t>
  </si>
  <si>
    <t>Attitude to EU Unification</t>
  </si>
  <si>
    <t>Variable</t>
  </si>
  <si>
    <t>Obs</t>
  </si>
  <si>
    <t>Weight</t>
  </si>
  <si>
    <t>Mean</t>
  </si>
  <si>
    <t>Std. dev.</t>
  </si>
  <si>
    <t>Min</t>
  </si>
  <si>
    <t>Max</t>
  </si>
  <si>
    <t>Figure X: Perception of Trust in the EU Parliament and Attitudes to EU Unification in Ireland: 2002-2023</t>
  </si>
  <si>
    <t>trstep</t>
  </si>
  <si>
    <t>1.846</t>
  </si>
  <si>
    <t>euftf</t>
  </si>
  <si>
    <t>1.829</t>
  </si>
  <si>
    <t>Trust in EU parliament</t>
  </si>
  <si>
    <t xml:space="preserve">Low trust in EU Parliament </t>
  </si>
  <si>
    <t>Unification has gone far enough</t>
  </si>
  <si>
    <t>Low attachment ot Europe</t>
  </si>
  <si>
    <t>Figure X: Perception of Trust in EU Parliament, Support for EU Unification and Attachment to Europe by Educational Attainment in Ireland: 2023</t>
  </si>
  <si>
    <t>Urban</t>
  </si>
  <si>
    <t>urban</t>
  </si>
  <si>
    <t>Rural</t>
  </si>
  <si>
    <t>Figure X: Percentage Reporting Relatively Low levels of Trust in EU Parliament, Support for EU Unification and Attachment to Europe by Urban and Rural Residence in Ireland: 2023</t>
  </si>
  <si>
    <t>Life Satisfaction and Hapiness</t>
  </si>
  <si>
    <t>Life Satisfaction</t>
  </si>
  <si>
    <t>Happiness</t>
  </si>
  <si>
    <t>stflife</t>
  </si>
  <si>
    <t>happy</t>
  </si>
  <si>
    <t>R10</t>
  </si>
  <si>
    <t>R11</t>
  </si>
  <si>
    <t>Figure X: Average Level of Life Satisfaction and Happiness in Ireland</t>
  </si>
  <si>
    <t>2.002</t>
  </si>
  <si>
    <t>2.016</t>
  </si>
  <si>
    <t>Table X: Life Satisfaction and Employment Status in Ireland</t>
  </si>
  <si>
    <t>lifesat</t>
  </si>
  <si>
    <t>Percent Satisfied</t>
  </si>
  <si>
    <t>Percent Dissatisfied</t>
  </si>
  <si>
    <t>Inactive (not looking for a job)</t>
  </si>
  <si>
    <t>Refusal/Don't know</t>
  </si>
  <si>
    <t>Total Population</t>
  </si>
  <si>
    <t>Economic Satisfaction and Household Income Adequacy</t>
  </si>
  <si>
    <t>Satisfaction with the present state of the economy</t>
  </si>
  <si>
    <t>satecon</t>
  </si>
  <si>
    <t xml:space="preserve">Figure X: Percentage of the Population in Ireland Satisfied with the Present State of the Economy </t>
  </si>
  <si>
    <t>Satisfaction with the present state of the economy by age groups</t>
  </si>
  <si>
    <t>Figure X: Satisfaction with the Present State of the Economy in Ireland by Age Groups</t>
  </si>
  <si>
    <t>46-55</t>
  </si>
  <si>
    <t>66-75</t>
  </si>
  <si>
    <t>76+</t>
  </si>
  <si>
    <t>-&gt; quintile = Bottom 20%</t>
  </si>
  <si>
    <t>Bottom 20%</t>
  </si>
  <si>
    <t>Top 20%</t>
  </si>
  <si>
    <t>All</t>
  </si>
  <si>
    <t>Feeling about household's income</t>
  </si>
  <si>
    <t>Living comfortably</t>
  </si>
  <si>
    <t>nowadays</t>
  </si>
  <si>
    <t>Coping</t>
  </si>
  <si>
    <t>Finding it difficult</t>
  </si>
  <si>
    <t>Living comfortably on present income</t>
  </si>
  <si>
    <t>Finding it very difficult</t>
  </si>
  <si>
    <t>Coping on present income</t>
  </si>
  <si>
    <t>Difficult on present income</t>
  </si>
  <si>
    <t>Figure X: Perception of Household Income in Ireland by Income Quintile</t>
  </si>
  <si>
    <t>Very difficult on present income</t>
  </si>
  <si>
    <t>-&gt; quintile = 2nd quintile</t>
  </si>
  <si>
    <t>-&gt; quintile = 3rd quintile</t>
  </si>
  <si>
    <t>-&gt; quintile = 4th quintile</t>
  </si>
  <si>
    <t>-&gt; quintile = Top 20%</t>
  </si>
  <si>
    <t>Immigration</t>
  </si>
  <si>
    <t>Economy</t>
  </si>
  <si>
    <t>Culture</t>
  </si>
  <si>
    <t>imbgeco</t>
  </si>
  <si>
    <t>Place to live</t>
  </si>
  <si>
    <t>imueclt</t>
  </si>
  <si>
    <t>imwbcnt</t>
  </si>
  <si>
    <t>Figure X:  Perception of the Impact of Immigration on the Economy, Culture, and Life in Ireland</t>
  </si>
  <si>
    <t>1.979</t>
  </si>
  <si>
    <t>1.983</t>
  </si>
  <si>
    <t>economy</t>
  </si>
  <si>
    <t>culture</t>
  </si>
  <si>
    <t>placetolive</t>
  </si>
  <si>
    <t>Negative view</t>
  </si>
  <si>
    <t>Positive view</t>
  </si>
  <si>
    <t xml:space="preserve"> Tertiary</t>
  </si>
  <si>
    <t>Figure X: Percentage Who Positively view the Impact of Immigration on the Economy, Culture and as a Place to Live by Education in Ireland</t>
  </si>
  <si>
    <t>Unemployed</t>
  </si>
  <si>
    <t>Figure X: Percentage who Positively View the Impact of Immigration on the Economy, Culture and as a Place to Live by Employment Status in Ireland</t>
  </si>
  <si>
    <t>Religion</t>
  </si>
  <si>
    <t>-&gt; essround</t>
  </si>
  <si>
    <t>=</t>
  </si>
  <si>
    <t>Belonging</t>
  </si>
  <si>
    <t>to</t>
  </si>
  <si>
    <t>Yes</t>
  </si>
  <si>
    <t>particular</t>
  </si>
  <si>
    <t>religion or</t>
  </si>
  <si>
    <t>Figure X: Proportion of the Population Belonging to any particular Religion: 2002-2020</t>
  </si>
  <si>
    <t>denominatio</t>
  </si>
  <si>
    <t>n</t>
  </si>
  <si>
    <t>No</t>
  </si>
  <si>
    <t>pspwght</t>
  </si>
  <si>
    <t>Count</t>
  </si>
  <si>
    <t>Belonging to particular religion or denomination</t>
  </si>
  <si>
    <t>Born in country</t>
  </si>
  <si>
    <t>Not born in country</t>
  </si>
  <si>
    <t>Figure X: Distribution of Belonging to any Particular Religion or Denomination in Ireland by  Various Characteristics</t>
  </si>
  <si>
    <t>Percentage Yes</t>
  </si>
  <si>
    <t>Percentage No</t>
  </si>
  <si>
    <t>Gender</t>
  </si>
  <si>
    <t>Male</t>
  </si>
  <si>
    <t>Female</t>
  </si>
  <si>
    <t>Age</t>
  </si>
  <si>
    <t>Highest Completed Education</t>
  </si>
  <si>
    <t>Less than lower secondary</t>
  </si>
  <si>
    <t>Lower secondary</t>
  </si>
  <si>
    <t>Upper secondary</t>
  </si>
  <si>
    <t xml:space="preserve">Advanced vocational </t>
  </si>
  <si>
    <t>Tertiary education</t>
  </si>
  <si>
    <t>Location</t>
  </si>
  <si>
    <t xml:space="preserve">Urban </t>
  </si>
  <si>
    <t>Climate Change</t>
  </si>
  <si>
    <t xml:space="preserve">Figure X. Perception of Climate Change in Ireland </t>
  </si>
  <si>
    <t>Imagine large numbers of people limit energy use, how likely reduce climate change</t>
  </si>
  <si>
    <t>How likely, large numbers of people limit energy use</t>
  </si>
  <si>
    <t>How likely, governments in enough countries take action to reduce climate change</t>
  </si>
  <si>
    <t xml:space="preserve">Perceptions and Experiences of Gender Equality </t>
  </si>
  <si>
    <t>Yes, once</t>
  </si>
  <si>
    <t>Yes, more than once</t>
  </si>
  <si>
    <t>Have never had job or applied for a job</t>
  </si>
  <si>
    <t xml:space="preserve">Male </t>
  </si>
  <si>
    <t>-&gt; gndr = Mal</t>
  </si>
  <si>
    <t xml:space="preserve">Female </t>
  </si>
  <si>
    <t>Unfairly treated in hiring pay or promotion because  being a man/woman</t>
  </si>
  <si>
    <t>Figure X: Proportion of population unfairly treated in hiring pay or promotion because  being a man/woman</t>
  </si>
  <si>
    <t>Unfairly treated in hiring pay or</t>
  </si>
  <si>
    <t>promotion at work because being a</t>
  </si>
  <si>
    <t>man/woman</t>
  </si>
  <si>
    <t>Have</t>
  </si>
  <si>
    <t>never had job or applied for a job</t>
  </si>
  <si>
    <t>-&gt; gndr = Fem</t>
  </si>
  <si>
    <t>Unfairly treated by the police because being a man/woman</t>
  </si>
  <si>
    <t>Have never had any contact with the police</t>
  </si>
  <si>
    <t>Unfairly treated by the police because</t>
  </si>
  <si>
    <t>Figure X: Proportion of population unfairly treated by the police because being a man/woman</t>
  </si>
  <si>
    <t>being a man/woman</t>
  </si>
  <si>
    <t>Have never had any contact with the pol</t>
  </si>
  <si>
    <t>Women are treated less fairly than men</t>
  </si>
  <si>
    <t>Men are treated less fairly than women</t>
  </si>
  <si>
    <t>Women and men are treated equally fairly</t>
  </si>
  <si>
    <t>Women/men: treated equally fairly when seeking medical treatment in Ireland</t>
  </si>
  <si>
    <t>Figure X: Proportion of population who think that women/men are treated equally fairly when seeking medical treatment in Ireland</t>
  </si>
  <si>
    <t>Women/men: treated equally fairly when</t>
  </si>
  <si>
    <t>seeking medical treatment in [country]</t>
  </si>
  <si>
    <t>Women and men are treated equally fairl</t>
  </si>
  <si>
    <t>Women/men: treated equally fairly in hiring, pay or promotions at work in Ireland</t>
  </si>
  <si>
    <t>Figure X: Percentage of population who think that women/men: treated equally fairly in hiring, pay or promotions at work in Ireland</t>
  </si>
  <si>
    <t>Women/men: treated equally fairly in</t>
  </si>
  <si>
    <t>hiring, pay or promotions at work in</t>
  </si>
  <si>
    <t>[count</t>
  </si>
  <si>
    <t>Bad or good for family life in Ireland if equal numbers of women and men are in paid work</t>
  </si>
  <si>
    <t>Very bad for family life in Ireland</t>
  </si>
  <si>
    <t>Very good for family life in Ireland</t>
  </si>
  <si>
    <t>Bad or good for family life in</t>
  </si>
  <si>
    <t>[country] if equal numbers of women</t>
  </si>
  <si>
    <t>Figure X: Percentage of the population who think that it is bad or good for family life in Ireland if equal numbers of women and men are in paid work</t>
  </si>
  <si>
    <t>and men are i</t>
  </si>
  <si>
    <t>Very bad for family life in [country]</t>
  </si>
  <si>
    <t>Very good for family life in [country]</t>
  </si>
  <si>
    <t>Bad or good for politics in Ireland if equal numbers of women and men are in positions of political leadership</t>
  </si>
  <si>
    <t>Very bad for politics in Ireland</t>
  </si>
  <si>
    <t>Very good for politics in Ireland</t>
  </si>
  <si>
    <t>Bad or good for politics in</t>
  </si>
  <si>
    <t>and men are in p</t>
  </si>
  <si>
    <t>Figure X: Percentage of the population who think that it is bad or good for politics in Ireland if equal numbers of women and men are in positions of political leadership</t>
  </si>
  <si>
    <t>Very bad for politics in [country]</t>
  </si>
  <si>
    <t>Very good for politics in [country]</t>
  </si>
  <si>
    <t>Bad or good for businesses in Ireland if equal numbers of women and men are in higher management positions</t>
  </si>
  <si>
    <t>Very bad for businesses in Ireland</t>
  </si>
  <si>
    <t>Very good for businesses in Ireland</t>
  </si>
  <si>
    <t>Bad or good for businesses in</t>
  </si>
  <si>
    <t>Figure X: Percentage of the population who think that it is bad or good for businesses in Ireland if equal numbers of women and men are in higher management positions</t>
  </si>
  <si>
    <t>and men are in</t>
  </si>
  <si>
    <t>Very bad for businesses in [country]</t>
  </si>
  <si>
    <t>Very good for businesses in [country]</t>
  </si>
  <si>
    <t>Bad or good for economy in Ireland if women and men receive equal pay for doing the same work</t>
  </si>
  <si>
    <t>Very bad for the strength of the economy</t>
  </si>
  <si>
    <t>Very good for the strength of the economy</t>
  </si>
  <si>
    <t>Bad or good for economy in [country] if</t>
  </si>
  <si>
    <t>women and men receive equal pay for</t>
  </si>
  <si>
    <t>Figure X: Percentage of the population who think that it is Bad or good for economy in Ireland if women and men receive equal pay for doing the same work</t>
  </si>
  <si>
    <t>doin</t>
  </si>
  <si>
    <t>Very bad for the strength of the econom</t>
  </si>
  <si>
    <t>Very good for the strength of the econo</t>
  </si>
  <si>
    <t>Require both parents to take equal periods of paid leave to care for their child</t>
  </si>
  <si>
    <t>Strongly against</t>
  </si>
  <si>
    <t>Somewhat against</t>
  </si>
  <si>
    <t>Neither in favour nor against</t>
  </si>
  <si>
    <t>Somewhat in favour</t>
  </si>
  <si>
    <t>Strongly in favour</t>
  </si>
  <si>
    <t>Require both parents to take</t>
  </si>
  <si>
    <t>equal periods of paid leave</t>
  </si>
  <si>
    <t>Figure X: Require both parents to take equal periods of paid leave to care for their child</t>
  </si>
  <si>
    <t>to care for their child</t>
  </si>
  <si>
    <t>Social Inequalities in Health</t>
  </si>
  <si>
    <t xml:space="preserve">Figure X: Proportion of population who had health problems in the last 12 months </t>
  </si>
  <si>
    <t xml:space="preserve">Health problems, last 12 months </t>
  </si>
  <si>
    <t>Health</t>
  </si>
  <si>
    <t>Diabetes</t>
  </si>
  <si>
    <t>problems,</t>
  </si>
  <si>
    <t>Severe headaches</t>
  </si>
  <si>
    <t>last 12</t>
  </si>
  <si>
    <t>Heart or circulation problem</t>
  </si>
  <si>
    <t>months:</t>
  </si>
  <si>
    <t>Skin condition related</t>
  </si>
  <si>
    <t>heart or</t>
  </si>
  <si>
    <t>Allergies</t>
  </si>
  <si>
    <t>circulation</t>
  </si>
  <si>
    <t>Breathing problems</t>
  </si>
  <si>
    <t>problem</t>
  </si>
  <si>
    <t>Stomach or digestion related</t>
  </si>
  <si>
    <t>Muscular or joint pain in hand or arm</t>
  </si>
  <si>
    <t>Not marked</t>
  </si>
  <si>
    <t>High blood pressure</t>
  </si>
  <si>
    <t>Marked</t>
  </si>
  <si>
    <t>Muscular or joint pain in foot or leg</t>
  </si>
  <si>
    <t>Back or neck pain</t>
  </si>
  <si>
    <t>None of these</t>
  </si>
  <si>
    <t>high blood</t>
  </si>
  <si>
    <t>pressure</t>
  </si>
  <si>
    <t>breathing</t>
  </si>
  <si>
    <t>problems</t>
  </si>
  <si>
    <t>allergies</t>
  </si>
  <si>
    <t>back or</t>
  </si>
  <si>
    <t>neck pain</t>
  </si>
  <si>
    <t>muscular or</t>
  </si>
  <si>
    <t>joint pain</t>
  </si>
  <si>
    <t>in hand or</t>
  </si>
  <si>
    <t>arm</t>
  </si>
  <si>
    <t>in foot or</t>
  </si>
  <si>
    <t>leg</t>
  </si>
  <si>
    <t>stomach or</t>
  </si>
  <si>
    <t>digestion</t>
  </si>
  <si>
    <t>related</t>
  </si>
  <si>
    <t>skin</t>
  </si>
  <si>
    <t>condition</t>
  </si>
  <si>
    <t>severe</t>
  </si>
  <si>
    <t>headaches</t>
  </si>
  <si>
    <t>diabetes</t>
  </si>
  <si>
    <t>none of</t>
  </si>
  <si>
    <t>these</t>
  </si>
  <si>
    <t>Figure X: Unable to get medical consultation or treatment in the last 12 months</t>
  </si>
  <si>
    <t>Unable to</t>
  </si>
  <si>
    <t>get medical</t>
  </si>
  <si>
    <t>consultatio</t>
  </si>
  <si>
    <t>n or</t>
  </si>
  <si>
    <t>treatment,</t>
  </si>
  <si>
    <t>months</t>
  </si>
  <si>
    <t>Feelings in the pas week</t>
  </si>
  <si>
    <t>Felt depressed, how</t>
  </si>
  <si>
    <t>Felt depressed, how often past</t>
  </si>
  <si>
    <t>None or almost none of the time</t>
  </si>
  <si>
    <t>Some of the time</t>
  </si>
  <si>
    <t>Most of the time</t>
  </si>
  <si>
    <t>All or almost all of the time</t>
  </si>
  <si>
    <t>week</t>
  </si>
  <si>
    <t xml:space="preserve">Felt depressed </t>
  </si>
  <si>
    <t>Felt everything did as effort</t>
  </si>
  <si>
    <t>None or almost none</t>
  </si>
  <si>
    <t>Sleep was restless</t>
  </si>
  <si>
    <t>Some</t>
  </si>
  <si>
    <t>Were happy</t>
  </si>
  <si>
    <t>Most</t>
  </si>
  <si>
    <t>Felt lonely</t>
  </si>
  <si>
    <t>All or almost all</t>
  </si>
  <si>
    <t>Enjoyed life</t>
  </si>
  <si>
    <t>Felt sad</t>
  </si>
  <si>
    <t>Could not get going</t>
  </si>
  <si>
    <t>Felt everything did as effort,</t>
  </si>
  <si>
    <t>Figure X: Feelings in the pas week</t>
  </si>
  <si>
    <t>how often past week</t>
  </si>
  <si>
    <t>Sleep was restless, how often</t>
  </si>
  <si>
    <t>past week</t>
  </si>
  <si>
    <t>Were happy, how often past week</t>
  </si>
  <si>
    <t>Felt lonely, how often past</t>
  </si>
  <si>
    <t>Enjoyed life, how often past</t>
  </si>
  <si>
    <t>Felt sad, how often past week</t>
  </si>
  <si>
    <t>Could not get going, how often</t>
  </si>
  <si>
    <t>Accomodation</t>
  </si>
  <si>
    <t>Problems</t>
  </si>
  <si>
    <t>Mould or rot in windows, doors and floors</t>
  </si>
  <si>
    <t>accomodatio</t>
  </si>
  <si>
    <t>Damp walls or leaking roof</t>
  </si>
  <si>
    <t>n: mould or</t>
  </si>
  <si>
    <t>Overcrowding</t>
  </si>
  <si>
    <t>rot in</t>
  </si>
  <si>
    <t>Presence of insects or rodents</t>
  </si>
  <si>
    <t>windows,</t>
  </si>
  <si>
    <t>Extremely hot or extremely cold</t>
  </si>
  <si>
    <t>doors and</t>
  </si>
  <si>
    <t>Noise</t>
  </si>
  <si>
    <t>floors</t>
  </si>
  <si>
    <t>Neither bath nor shower</t>
  </si>
  <si>
    <t>Lack of indoor flushing toilet</t>
  </si>
  <si>
    <t>Figure X: Problems with accomodation</t>
  </si>
  <si>
    <t>n: damp</t>
  </si>
  <si>
    <t>walls or</t>
  </si>
  <si>
    <t>leaking</t>
  </si>
  <si>
    <t>roof</t>
  </si>
  <si>
    <t>n: lack of</t>
  </si>
  <si>
    <t>indoor</t>
  </si>
  <si>
    <t>flushing</t>
  </si>
  <si>
    <t>toilet</t>
  </si>
  <si>
    <t>n: neither</t>
  </si>
  <si>
    <t>bath nor</t>
  </si>
  <si>
    <t>shower</t>
  </si>
  <si>
    <t>n:</t>
  </si>
  <si>
    <t>overcrowdin</t>
  </si>
  <si>
    <t>g</t>
  </si>
  <si>
    <t>extremely</t>
  </si>
  <si>
    <t>hot or</t>
  </si>
  <si>
    <t>cold</t>
  </si>
  <si>
    <t>n: noise</t>
  </si>
  <si>
    <t>n: presence</t>
  </si>
  <si>
    <t>of insects</t>
  </si>
  <si>
    <t>or rodents</t>
  </si>
  <si>
    <t>COVID-19 pandemic: personal experience</t>
  </si>
  <si>
    <t>Figure X: Percent Reported Having COVID-19: 2020</t>
  </si>
  <si>
    <t xml:space="preserve"> Respondent had COVID-19</t>
  </si>
  <si>
    <t>Respondent had COVID-19</t>
  </si>
  <si>
    <t>Yes, I tested positive for COVID-19</t>
  </si>
  <si>
    <t>Yes, I think I had COVID-19 but was not tested/did not test positive</t>
  </si>
  <si>
    <t>No, I have not had COVID-19</t>
  </si>
  <si>
    <t>Figure X:  Things happened since start of COVID-19</t>
  </si>
  <si>
    <t>I was made redundant/lost my job</t>
  </si>
  <si>
    <t>The income from my job was reduced</t>
  </si>
  <si>
    <t>There is someone at home had COVID-19</t>
  </si>
  <si>
    <t>My working hours were reduced</t>
  </si>
  <si>
    <t>Anyone living with respondent had</t>
  </si>
  <si>
    <t>I was furloughed</t>
  </si>
  <si>
    <t>COVID-19</t>
  </si>
  <si>
    <t>I was forced to take unpaid leave/holiday</t>
  </si>
  <si>
    <t>Figure X: Percent Reported Someone at Home who had COVID-19</t>
  </si>
  <si>
    <r>
      <rPr>
        <rFont val="Times New Roman"/>
        <color theme="1"/>
        <sz val="7.0"/>
      </rPr>
      <t> </t>
    </r>
    <r>
      <rPr>
        <rFont val="Calibri"/>
        <color theme="1"/>
        <sz val="11.0"/>
      </rPr>
      <t>None of these</t>
    </r>
  </si>
  <si>
    <t>Yes, someone living with me tested positive for COVID-19</t>
  </si>
  <si>
    <t>Yes, I think someone living with me had COVID-19 but they  were not tested/did no</t>
  </si>
  <si>
    <t>No, no one living with me had COVID-19</t>
  </si>
  <si>
    <t>I have not lived with anyone since the start of the pandemic</t>
  </si>
  <si>
    <t>Things happened since start of COVID-19: was made redundant/lost job</t>
  </si>
  <si>
    <t>Figure X: Percent who were made redundant/lost their job</t>
  </si>
  <si>
    <t>ost job</t>
  </si>
  <si>
    <t xml:space="preserve"> Things happened since start of COVID-19: income from my job was reduced</t>
  </si>
  <si>
    <t>reduced</t>
  </si>
  <si>
    <t>Figure X: Percent whose income from job was reduced</t>
  </si>
  <si>
    <t xml:space="preserve"> Things happened since start of COVID-19: working hours were reduced</t>
  </si>
  <si>
    <t>Figure X: Percent whose working hours were reduced</t>
  </si>
  <si>
    <t>Things happened since start of COVID-19:  was furloughed</t>
  </si>
  <si>
    <t>Figure X: Percent who were furloughed</t>
  </si>
  <si>
    <t>furloughed</t>
  </si>
  <si>
    <t>Things happened since start of COVID-19: was forced to take unpaid leave/holiday</t>
  </si>
  <si>
    <t>Figure X: Percent who were forced to take unpaid leave/holiday</t>
  </si>
  <si>
    <t>ay</t>
  </si>
  <si>
    <t>marked</t>
  </si>
  <si>
    <t>Things happened since start of COVID-19: none of these</t>
  </si>
  <si>
    <t>Figure X: None of these</t>
  </si>
  <si>
    <t>COVID-19 pandemic:  prioritisations in the pandemic</t>
  </si>
  <si>
    <t>Figure X:  More important for governments to prioritise public health or economic activity: 2020</t>
  </si>
  <si>
    <t xml:space="preserve"> More important for governments to prioritise public health or economic activity</t>
  </si>
  <si>
    <t>More important for governments to</t>
  </si>
  <si>
    <t>prioritise public health or economic</t>
  </si>
  <si>
    <t>activity</t>
  </si>
  <si>
    <t>Much more important to prioritise public health</t>
  </si>
  <si>
    <t>Much more important to prioritise economic activity</t>
  </si>
  <si>
    <t>Figure X:  More important for governments to prioritise public health or economic activity, by personal C19 experience: 2020</t>
  </si>
  <si>
    <t xml:space="preserve"> More important for governments to prioritise public health or economic activity, by personal C19 experience</t>
  </si>
  <si>
    <t xml:space="preserve"> No, I have not had COVID-19</t>
  </si>
  <si>
    <t>Much more important to prioritise publi</t>
  </si>
  <si>
    <t>Much more important to prioritise econo</t>
  </si>
  <si>
    <t>Figure X:  More important for governments to monitor and track the public or to maintain public privacy: 2020</t>
  </si>
  <si>
    <t>More important for governments to monitor and track the public or to maintain public privacy</t>
  </si>
  <si>
    <t>monitor and track the public or to</t>
  </si>
  <si>
    <t>maintain pu</t>
  </si>
  <si>
    <t>Much more important to monitor and track the public</t>
  </si>
  <si>
    <t>more important to monitor and trac</t>
  </si>
  <si>
    <t>Much more important to maintain public privacy</t>
  </si>
  <si>
    <t>more important to maintain public</t>
  </si>
  <si>
    <t>Figure X:  More important for governments to monitor and track the public or to maintain public privacy, by personal C19 experience: 2020</t>
  </si>
  <si>
    <t>More important for governments to monitor and track the public or to maintain public privacy, by personal C19 experience</t>
  </si>
  <si>
    <t>Much more important to monitor and trac</t>
  </si>
  <si>
    <t>Much more important to maintain public</t>
  </si>
  <si>
    <t>More important to follow government rules or to make own decisions when fighting a pandemic</t>
  </si>
  <si>
    <t>Figure X:  More important to follow government rules or to make own decisions when fighting a pandemic: 2020</t>
  </si>
  <si>
    <t>More important to follow government</t>
  </si>
  <si>
    <t>rules or to make own decisions when</t>
  </si>
  <si>
    <t>fighting</t>
  </si>
  <si>
    <t>Much more important to follow government rules</t>
  </si>
  <si>
    <t>Much more important to make your own decisions</t>
  </si>
  <si>
    <t>More important to follow government rules or to make own decisions when fighting a pandemic, by personal C19 experience</t>
  </si>
  <si>
    <t>Figure X:  More important to follow government rules or to make own decisions when fighting a pandemic, by personal C19 experience: 2020</t>
  </si>
  <si>
    <t>Much more important to follow governmen</t>
  </si>
  <si>
    <t>Much more important to make your own de</t>
  </si>
  <si>
    <t>COVID-19 pandemic:  Satisfaction with the government’s response</t>
  </si>
  <si>
    <t>Figure X:  How satisfied with government's handling of COVID-19 in country: 2020</t>
  </si>
  <si>
    <t>How satisfied with government's handling of COVID-19 in country</t>
  </si>
  <si>
    <t>How satisfied with</t>
  </si>
  <si>
    <t>government's handling</t>
  </si>
  <si>
    <t>of COVID-19 in country</t>
  </si>
  <si>
    <t>Extremely dissatisfied</t>
  </si>
  <si>
    <t>Extremely satisfied</t>
  </si>
  <si>
    <t>Figure X:  How satisfied with government's handling of COVID-19 in country, by personal C19 experience: 2020</t>
  </si>
  <si>
    <t>How satisfied with government's handling of COVID-19 in country, by personal C19 experience</t>
  </si>
  <si>
    <t>How satisfied with the way health services coped with COVID-19 and its consequences in country</t>
  </si>
  <si>
    <t>Figure X:  How satisfied with the way health services coped with COVID-19 and its consequences in country: 2020</t>
  </si>
  <si>
    <t>How satisfied with the</t>
  </si>
  <si>
    <t>way health services</t>
  </si>
  <si>
    <t>coped with COVID-19</t>
  </si>
  <si>
    <t>and its consequen</t>
  </si>
  <si>
    <t>How satisfied with the way health services coped with COVID-19 and its consequences in country, by personal C19 experience</t>
  </si>
  <si>
    <t>Figure X:  How satisfied with the way health services coped with COVID-19 and its consequences in country, by personal C19 experience: 2020</t>
  </si>
  <si>
    <t>How satisfied with government's response to COVID-19: people who have experienced job/income losses</t>
  </si>
  <si>
    <t>Figure X:  How satisfied with government's response to COVID-19: people who have experienced job/income losses: 2020</t>
  </si>
  <si>
    <t>government's response</t>
  </si>
  <si>
    <t>to COVID-19: people</t>
  </si>
  <si>
    <t>who have experience</t>
  </si>
  <si>
    <t>How satisfied with government's response to COVID-19: people who have experienced job/income losses, by personal C19 experience</t>
  </si>
  <si>
    <t>Figure X:  How satisfied with government's response to COVID-19: people who have experienced job/income losses, by personal C19 experience: 2020</t>
  </si>
  <si>
    <t>How satisfied with government's response to COVID-19: elderly people in care homes</t>
  </si>
  <si>
    <t>Figure X:  How satisfied with government's response to COVID-19: elderly people in care homes: 2020</t>
  </si>
  <si>
    <t>to COVID-19: elderly</t>
  </si>
  <si>
    <t>people in care hom</t>
  </si>
  <si>
    <t>How satisfied with government's response to COVID-19: elderly people in care homes, by personal C19 experience</t>
  </si>
  <si>
    <t>Figure X:  How satisfied with government's response to COVID-19: elderly people in care homes, by personal C19 experience: 2020</t>
  </si>
  <si>
    <t>How satisfied with government's response to COVID-19: families with school-aged children</t>
  </si>
  <si>
    <t>Figure X:  How satisfied with government's response to COVID-19: families with school-aged children: 2020</t>
  </si>
  <si>
    <t>to COVID-19: families</t>
  </si>
  <si>
    <t>with school-aged</t>
  </si>
  <si>
    <t>How satisfied with government's response to COVID-19: families with school-aged children, by personal C19 experience</t>
  </si>
  <si>
    <t>Figure X:  How satisfied with government's response to COVID-19: families with school-aged children, by personal C19 experience: 2020</t>
  </si>
  <si>
    <t>Economic Satisfaction</t>
  </si>
  <si>
    <t xml:space="preserve">B28 </t>
  </si>
  <si>
    <t>Figure X - Proportion of the Population Satisfied with the Present State of the Economy</t>
  </si>
  <si>
    <t>ESS Round</t>
  </si>
  <si>
    <t>ESS year</t>
  </si>
  <si>
    <t>Economic Satisfaction ober the ESS rounds</t>
  </si>
  <si>
    <t>economy in country</t>
  </si>
  <si>
    <t>TOTAL</t>
  </si>
  <si>
    <t>Extremely dissatisfie</t>
  </si>
  <si>
    <t>Mostly satisfied (6 to 10)</t>
  </si>
  <si>
    <t>Mostly dissatisfied (0 to 4)</t>
  </si>
  <si>
    <t>Neutral (5)</t>
  </si>
  <si>
    <t>No Answer</t>
  </si>
  <si>
    <t>Figure X - Satisfaction with the Present State of the Economy, by age group in 2018</t>
  </si>
  <si>
    <t>Economic Satisfaction - by age</t>
  </si>
  <si>
    <t>76 plus</t>
  </si>
  <si>
    <t>Household Income  - Living Comfortably</t>
  </si>
  <si>
    <t xml:space="preserve"> F42 - Which of the descriptions on this card comes closest to how you feel about your household’s income nowadays? </t>
  </si>
  <si>
    <t>Quintiles</t>
  </si>
  <si>
    <t>Figure X - How you feel about your Household's Income, by income quintile in 2018</t>
  </si>
  <si>
    <t>C11</t>
  </si>
  <si>
    <t xml:space="preserve"> C11 - Do you consider yourself as belonging to any particular religion or denomination? </t>
  </si>
  <si>
    <t>Figure X - Proportion of the Population Belonging to any particular Religion</t>
  </si>
  <si>
    <t>denomination</t>
  </si>
  <si>
    <t>Job Security and Precarity</t>
  </si>
  <si>
    <t>National Question ESS9</t>
  </si>
  <si>
    <t>X5. Using this card, please tell me how true the following statements is about your current job: My job is secure</t>
  </si>
  <si>
    <t>COUNTRY-SPECIFIC: MICHEAL (FREQ)</t>
  </si>
  <si>
    <t>COUNTRY-SPECIFIC: MICHEAL (%)</t>
  </si>
  <si>
    <t>My job is secure</t>
  </si>
  <si>
    <t>Not at all true</t>
  </si>
  <si>
    <t>A little true</t>
  </si>
  <si>
    <t>Quite true</t>
  </si>
  <si>
    <t>Very true</t>
  </si>
  <si>
    <t>Not Aplicable</t>
  </si>
  <si>
    <t>Total 4 categories</t>
  </si>
  <si>
    <t>My job is secure - perceptions of job security (of those who responded)</t>
  </si>
  <si>
    <t>Insecure</t>
  </si>
  <si>
    <t>Secure</t>
  </si>
  <si>
    <t>Calculating Income quintile values for 2018</t>
  </si>
  <si>
    <t>Raw data</t>
  </si>
  <si>
    <t>Convert to % (and double check woith Monika results)</t>
  </si>
  <si>
    <t>Missing</t>
  </si>
  <si>
    <t>Total minus Missing and refusal</t>
  </si>
  <si>
    <t>J - 1st decile</t>
  </si>
  <si>
    <t>R - 2nd decile</t>
  </si>
  <si>
    <t>C - 3rd decile</t>
  </si>
  <si>
    <t>M - 4th decile</t>
  </si>
  <si>
    <t>F - 5th decile</t>
  </si>
  <si>
    <t>S - 6th decile</t>
  </si>
  <si>
    <t>K - 7th decile</t>
  </si>
  <si>
    <t>P - 8th decile</t>
  </si>
  <si>
    <t>D - 9th decile</t>
  </si>
  <si>
    <t>H - 10th decile</t>
  </si>
  <si>
    <t>Total (Valid Cases)</t>
  </si>
  <si>
    <t>N/A</t>
  </si>
  <si>
    <t>Total (All)</t>
  </si>
  <si>
    <t>Now quintiles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</si>
</sst>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"/>
    <numFmt numFmtId="166" formatCode="0.0%"/>
    <numFmt numFmtId="167" formatCode="0.000"/>
  </numFmts>
  <fonts count="1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4.0"/>
      <color rgb="FF595959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theme="1"/>
      <name val="Calibri"/>
    </font>
    <font>
      <sz val="11.0"/>
      <color theme="1"/>
      <name val="Aptos"/>
    </font>
    <font>
      <sz val="7.0"/>
      <color theme="1"/>
      <name val="Times New Roman"/>
    </font>
    <font>
      <i/>
      <sz val="11.0"/>
      <color theme="1"/>
      <name val="Calibri"/>
    </font>
    <font>
      <b/>
      <u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64" xfId="0" applyBorder="1" applyFill="1" applyFont="1" applyNumberForma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1" shrinkToFit="0" vertical="center" wrapText="1"/>
    </xf>
    <xf borderId="0" fillId="0" fontId="4" numFmtId="0" xfId="0" applyFont="1"/>
    <xf borderId="0" fillId="0" fontId="2" numFmtId="0" xfId="0" applyAlignment="1" applyFont="1">
      <alignment horizontal="center"/>
    </xf>
    <xf borderId="0" fillId="0" fontId="2" numFmtId="3" xfId="0" applyFont="1" applyNumberFormat="1"/>
    <xf borderId="0" fillId="0" fontId="5" numFmtId="0" xfId="0" applyFont="1"/>
    <xf borderId="0" fillId="0" fontId="2" numFmtId="2" xfId="0" applyFont="1" applyNumberFormat="1"/>
    <xf quotePrefix="1" borderId="0" fillId="0" fontId="2" numFmtId="17" xfId="0" applyAlignment="1" applyFont="1" applyNumberFormat="1">
      <alignment horizontal="right"/>
    </xf>
    <xf borderId="2" fillId="3" fontId="4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1" shrinkToFit="0" vertical="center" wrapText="1"/>
    </xf>
    <xf borderId="0" fillId="0" fontId="4" numFmtId="0" xfId="0" applyAlignment="1" applyFont="1">
      <alignment horizontal="left"/>
    </xf>
    <xf borderId="0" fillId="0" fontId="2" numFmtId="1" xfId="0" applyAlignment="1" applyFont="1" applyNumberFormat="1">
      <alignment horizontal="center"/>
    </xf>
    <xf borderId="0" fillId="0" fontId="2" numFmtId="1" xfId="0" applyFont="1" applyNumberFormat="1"/>
    <xf borderId="1" fillId="2" fontId="3" numFmtId="0" xfId="0" applyBorder="1" applyFont="1"/>
    <xf borderId="0" fillId="0" fontId="2" numFmtId="4" xfId="0" applyFont="1" applyNumberFormat="1"/>
    <xf borderId="0" fillId="0" fontId="7" numFmtId="0" xfId="0" applyAlignment="1" applyFont="1">
      <alignment horizontal="left" readingOrder="1" vertical="center"/>
    </xf>
    <xf borderId="0" fillId="0" fontId="1" numFmtId="0" xfId="0" applyAlignment="1" applyFont="1">
      <alignment horizontal="left" readingOrder="1" vertical="center"/>
    </xf>
    <xf borderId="0" fillId="0" fontId="4" numFmtId="0" xfId="0" applyAlignment="1" applyFont="1">
      <alignment horizontal="right"/>
    </xf>
    <xf borderId="0" fillId="0" fontId="2" numFmtId="165" xfId="0" applyFont="1" applyNumberFormat="1"/>
    <xf borderId="0" fillId="0" fontId="4" numFmtId="17" xfId="0" applyAlignment="1" applyFont="1" applyNumberFormat="1">
      <alignment horizontal="right"/>
    </xf>
    <xf borderId="0" fillId="0" fontId="4" numFmtId="3" xfId="0" applyFont="1" applyNumberFormat="1"/>
    <xf borderId="1" fillId="2" fontId="2" numFmtId="0" xfId="0" applyBorder="1" applyFont="1"/>
    <xf borderId="2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quotePrefix="1" borderId="2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left" readingOrder="1" shrinkToFit="0" vertical="center" wrapText="1"/>
    </xf>
    <xf borderId="1" fillId="2" fontId="2" numFmtId="3" xfId="0" applyBorder="1" applyFont="1" applyNumberFormat="1"/>
    <xf borderId="5" fillId="0" fontId="2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2" numFmtId="0" xfId="0" applyBorder="1" applyFont="1"/>
    <xf borderId="9" fillId="0" fontId="2" numFmtId="165" xfId="0" applyBorder="1" applyFont="1" applyNumberFormat="1"/>
    <xf borderId="10" fillId="0" fontId="2" numFmtId="165" xfId="0" applyBorder="1" applyFont="1" applyNumberFormat="1"/>
    <xf borderId="11" fillId="0" fontId="4" numFmtId="0" xfId="0" applyBorder="1" applyFont="1"/>
    <xf borderId="12" fillId="0" fontId="2" numFmtId="165" xfId="0" applyBorder="1" applyFont="1" applyNumberFormat="1"/>
    <xf borderId="13" fillId="0" fontId="2" numFmtId="165" xfId="0" applyBorder="1" applyFont="1" applyNumberFormat="1"/>
    <xf borderId="0" fillId="0" fontId="2" numFmtId="0" xfId="0" applyAlignment="1" applyFont="1">
      <alignment horizontal="right"/>
    </xf>
    <xf borderId="2" fillId="2" fontId="3" numFmtId="0" xfId="0" applyAlignment="1" applyBorder="1" applyFont="1">
      <alignment horizontal="center" shrinkToFit="0" wrapText="1"/>
    </xf>
    <xf borderId="1" fillId="2" fontId="4" numFmtId="0" xfId="0" applyBorder="1" applyFont="1"/>
    <xf borderId="0" fillId="4" fontId="8" numFmtId="0" xfId="0" applyAlignment="1" applyFill="1" applyFont="1">
      <alignment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8" numFmtId="0" xfId="0" applyAlignment="1" applyFont="1">
      <alignment horizontal="left" shrinkToFit="0" vertical="bottom" wrapText="0"/>
    </xf>
    <xf borderId="0" fillId="4" fontId="8" numFmtId="0" xfId="0" applyAlignment="1" applyFont="1">
      <alignment horizontal="left" readingOrder="0" shrinkToFit="0" vertical="bottom" wrapText="0"/>
    </xf>
    <xf borderId="0" fillId="4" fontId="9" numFmtId="0" xfId="0" applyAlignment="1" applyFont="1">
      <alignment horizontal="left" readingOrder="0" shrinkToFit="0" vertical="bottom" wrapText="0"/>
    </xf>
    <xf borderId="0" fillId="4" fontId="9" numFmtId="9" xfId="0" applyAlignment="1" applyFont="1" applyNumberFormat="1">
      <alignment horizontal="left" readingOrder="0" shrinkToFit="0" vertical="bottom" wrapText="0"/>
    </xf>
    <xf borderId="0" fillId="4" fontId="8" numFmtId="9" xfId="0" applyAlignment="1" applyFont="1" applyNumberFormat="1">
      <alignment horizontal="left" readingOrder="0" shrinkToFit="0" vertical="bottom" wrapText="0"/>
    </xf>
    <xf borderId="2" fillId="3" fontId="4" numFmtId="0" xfId="0" applyAlignment="1" applyBorder="1" applyFont="1">
      <alignment horizontal="center" vertical="center"/>
    </xf>
    <xf borderId="5" fillId="0" fontId="4" numFmtId="0" xfId="0" applyBorder="1" applyFont="1"/>
    <xf borderId="8" fillId="0" fontId="4" numFmtId="0" xfId="0" applyBorder="1" applyFont="1"/>
    <xf borderId="8" fillId="0" fontId="2" numFmtId="0" xfId="0" applyAlignment="1" applyBorder="1" applyFont="1">
      <alignment horizontal="left"/>
    </xf>
    <xf borderId="0" fillId="0" fontId="10" numFmtId="0" xfId="0" applyFont="1"/>
    <xf borderId="0" fillId="0" fontId="4" numFmtId="0" xfId="0" applyAlignment="1" applyFont="1">
      <alignment shrinkToFit="0" wrapText="1"/>
    </xf>
    <xf borderId="0" fillId="0" fontId="2" numFmtId="2" xfId="0" applyAlignment="1" applyFont="1" applyNumberFormat="1">
      <alignment horizontal="right"/>
    </xf>
    <xf borderId="1" fillId="5" fontId="4" numFmtId="0" xfId="0" applyBorder="1" applyFill="1" applyFont="1"/>
    <xf borderId="1" fillId="2" fontId="11" numFmtId="0" xfId="0" applyBorder="1" applyFont="1"/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1" xfId="0" applyAlignment="1" applyFont="1" applyNumberFormat="1">
      <alignment horizontal="right" readingOrder="0" shrinkToFit="0" vertical="bottom" wrapText="0"/>
    </xf>
    <xf borderId="0" fillId="0" fontId="8" numFmtId="0" xfId="0" applyFont="1"/>
    <xf borderId="0" fillId="0" fontId="12" numFmtId="0" xfId="0" applyFont="1"/>
    <xf borderId="0" fillId="0" fontId="2" numFmtId="0" xfId="0" applyAlignment="1" applyFont="1">
      <alignment shrinkToFit="0" wrapText="1"/>
    </xf>
    <xf borderId="1" fillId="2" fontId="13" numFmtId="0" xfId="0" applyBorder="1" applyFont="1"/>
    <xf borderId="0" fillId="0" fontId="2" numFmtId="9" xfId="0" applyFont="1" applyNumberFormat="1"/>
    <xf borderId="0" fillId="0" fontId="2" numFmtId="166" xfId="0" applyFont="1" applyNumberFormat="1"/>
    <xf borderId="14" fillId="0" fontId="13" numFmtId="0" xfId="0" applyBorder="1" applyFont="1"/>
    <xf borderId="0" fillId="0" fontId="4" numFmtId="1" xfId="0" applyFont="1" applyNumberFormat="1"/>
    <xf borderId="9" fillId="0" fontId="2" numFmtId="0" xfId="0" applyBorder="1" applyFont="1"/>
    <xf borderId="9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horizontal="left"/>
    </xf>
    <xf borderId="9" fillId="0" fontId="2" numFmtId="2" xfId="0" applyBorder="1" applyFont="1" applyNumberFormat="1"/>
    <xf borderId="9" fillId="0" fontId="4" numFmtId="0" xfId="0" applyBorder="1" applyFont="1"/>
    <xf borderId="9" fillId="0" fontId="4" numFmtId="2" xfId="0" applyBorder="1" applyFont="1" applyNumberFormat="1"/>
    <xf borderId="0" fillId="0" fontId="14" numFmtId="0" xfId="0" applyFont="1"/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0" fillId="0" fontId="13" numFmtId="0" xfId="0" applyFont="1"/>
    <xf borderId="0" fillId="0" fontId="2" numFmtId="167" xfId="0" applyFont="1" applyNumberFormat="1"/>
    <xf borderId="0" fillId="0" fontId="4" numFmtId="2" xfId="0" applyFont="1" applyNumberFormat="1"/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Average Trust in Other People (anweight)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Others'!$B$5:$B$15</c:f>
            </c:strRef>
          </c:cat>
          <c:val>
            <c:numRef>
              <c:f>'Trust in Others'!$C$5:$C$15</c:f>
              <c:numCache/>
            </c:numRef>
          </c:val>
          <c:smooth val="0"/>
        </c:ser>
        <c:axId val="2133627283"/>
        <c:axId val="706776425"/>
      </c:lineChart>
      <c:catAx>
        <c:axId val="2133627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6776425"/>
      </c:catAx>
      <c:valAx>
        <c:axId val="706776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Average Trust in Other People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362728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Lower Trust (0-4)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Others'!$B$21:$F$21</c:f>
            </c:strRef>
          </c:cat>
          <c:val>
            <c:numRef>
              <c:f>'Trust in Others'!$B$22:$F$22</c:f>
              <c:numCache/>
            </c:numRef>
          </c:val>
        </c:ser>
        <c:ser>
          <c:idx val="1"/>
          <c:order val="1"/>
          <c:tx>
            <c:v>Higher Trust (6-10)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Others'!$B$21:$F$21</c:f>
            </c:strRef>
          </c:cat>
          <c:val>
            <c:numRef>
              <c:f>'Trust in Others'!$B$24:$F$24</c:f>
              <c:numCache/>
            </c:numRef>
          </c:val>
        </c:ser>
        <c:axId val="1154866333"/>
        <c:axId val="187366812"/>
      </c:barChart>
      <c:catAx>
        <c:axId val="11548663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Percantage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366812"/>
      </c:catAx>
      <c:valAx>
        <c:axId val="1873668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4866333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'Trust in Institutions'!$G$4</c:f>
            </c:strRef>
          </c:tx>
          <c:val>
            <c:numRef>
              <c:f>'Trust in Institutions'!$G$5:$G$9</c:f>
              <c:numCache/>
            </c:numRef>
          </c:val>
        </c:ser>
        <c:ser>
          <c:idx val="1"/>
          <c:order val="1"/>
          <c:tx>
            <c:strRef>
              <c:f>'Trust in Institutions'!$H$4</c:f>
            </c:strRef>
          </c:tx>
          <c:val>
            <c:numRef>
              <c:f>'Trust in Institutions'!$H$5:$H$9</c:f>
              <c:numCache/>
            </c:numRef>
          </c:val>
        </c:ser>
        <c:axId val="1563629480"/>
        <c:axId val="1968149923"/>
      </c:barChart>
      <c:catAx>
        <c:axId val="15636294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8149923"/>
      </c:catAx>
      <c:valAx>
        <c:axId val="1968149923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563629480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Low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Institutions'!$V$5:$V$9</c:f>
            </c:strRef>
          </c:cat>
          <c:val>
            <c:numRef>
              <c:f>'Trust in Institutions'!$W$5:$W$9</c:f>
              <c:numCache/>
            </c:numRef>
          </c:val>
        </c:ser>
        <c:ser>
          <c:idx val="1"/>
          <c:order val="1"/>
          <c:tx>
            <c:v>High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Institutions'!$V$5:$V$9</c:f>
            </c:strRef>
          </c:cat>
          <c:val>
            <c:numRef>
              <c:f>'Trust in Institutions'!$X$5:$X$9</c:f>
              <c:numCache/>
            </c:numRef>
          </c:val>
        </c:ser>
        <c:axId val="1061412393"/>
        <c:axId val="607973066"/>
      </c:barChart>
      <c:catAx>
        <c:axId val="10614123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Percantage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7973066"/>
      </c:catAx>
      <c:valAx>
        <c:axId val="6079730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1412393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Garda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Institutions'!$R$51:$R$61</c:f>
            </c:strRef>
          </c:cat>
          <c:val>
            <c:numRef>
              <c:f>'Trust in Institutions'!$S$51:$S$61</c:f>
              <c:numCache/>
            </c:numRef>
          </c:val>
          <c:smooth val="0"/>
        </c:ser>
        <c:ser>
          <c:idx val="1"/>
          <c:order val="1"/>
          <c:tx>
            <c:v>Legal System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Institutions'!$R$51:$R$61</c:f>
            </c:strRef>
          </c:cat>
          <c:val>
            <c:numRef>
              <c:f>'Trust in Institutions'!$T$51:$T$61</c:f>
              <c:numCache/>
            </c:numRef>
          </c:val>
          <c:smooth val="0"/>
        </c:ser>
        <c:ser>
          <c:idx val="2"/>
          <c:order val="2"/>
          <c:tx>
            <c:v>Parliament 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Institutions'!$R$51:$R$61</c:f>
            </c:strRef>
          </c:cat>
          <c:val>
            <c:numRef>
              <c:f>'Trust in Institutions'!$U$51:$U$61</c:f>
              <c:numCache/>
            </c:numRef>
          </c:val>
          <c:smooth val="0"/>
        </c:ser>
        <c:ser>
          <c:idx val="3"/>
          <c:order val="3"/>
          <c:tx>
            <c:v>Politicians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Institutions'!$R$51:$R$61</c:f>
            </c:strRef>
          </c:cat>
          <c:val>
            <c:numRef>
              <c:f>'Trust in Institutions'!$V$51:$V$61</c:f>
              <c:numCache/>
            </c:numRef>
          </c:val>
          <c:smooth val="0"/>
        </c:ser>
        <c:ser>
          <c:idx val="4"/>
          <c:order val="4"/>
          <c:tx>
            <c:v>Political Parties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Institutions'!$R$51:$R$61</c:f>
            </c:strRef>
          </c:cat>
          <c:val>
            <c:numRef>
              <c:f>'Trust in Institutions'!$W$51:$W$61</c:f>
              <c:numCache/>
            </c:numRef>
          </c:val>
          <c:smooth val="0"/>
        </c:ser>
        <c:axId val="1798571895"/>
        <c:axId val="145106435"/>
      </c:lineChart>
      <c:catAx>
        <c:axId val="1798571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106435"/>
      </c:catAx>
      <c:valAx>
        <c:axId val="145106435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Mean Score (0-10)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8571895"/>
        <c:majorUnit val="0.5"/>
        <c:minorUnit val="0.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&lt;Lower Secondary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Institutions'!$R$72:$V$72</c:f>
            </c:strRef>
          </c:cat>
          <c:val>
            <c:numRef>
              <c:f>'Trust in Institutions'!$R$73:$V$73</c:f>
              <c:numCache/>
            </c:numRef>
          </c:val>
        </c:ser>
        <c:ser>
          <c:idx val="1"/>
          <c:order val="1"/>
          <c:tx>
            <c:v>Lower Secondary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Institutions'!$R$72:$V$72</c:f>
            </c:strRef>
          </c:cat>
          <c:val>
            <c:numRef>
              <c:f>'Trust in Institutions'!$R$74:$V$74</c:f>
              <c:numCache/>
            </c:numRef>
          </c:val>
        </c:ser>
        <c:ser>
          <c:idx val="2"/>
          <c:order val="2"/>
          <c:tx>
            <c:v>Upper Secondary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Institutions'!$R$72:$V$72</c:f>
            </c:strRef>
          </c:cat>
          <c:val>
            <c:numRef>
              <c:f>'Trust in Institutions'!$R$75:$V$75</c:f>
              <c:numCache/>
            </c:numRef>
          </c:val>
        </c:ser>
        <c:ser>
          <c:idx val="3"/>
          <c:order val="3"/>
          <c:tx>
            <c:v>Advanced Vocational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Institutions'!$R$72:$V$72</c:f>
            </c:strRef>
          </c:cat>
          <c:val>
            <c:numRef>
              <c:f>'Trust in Institutions'!$R$76:$V$76</c:f>
              <c:numCache/>
            </c:numRef>
          </c:val>
        </c:ser>
        <c:ser>
          <c:idx val="4"/>
          <c:order val="4"/>
          <c:tx>
            <c:v>Tertiary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'Trust in Institutions'!$R$72:$V$72</c:f>
            </c:strRef>
          </c:cat>
          <c:val>
            <c:numRef>
              <c:f>'Trust in Institutions'!$R$77:$V$77</c:f>
              <c:numCache/>
            </c:numRef>
          </c:val>
        </c:ser>
        <c:axId val="1426859802"/>
        <c:axId val="1124427367"/>
      </c:barChart>
      <c:catAx>
        <c:axId val="14268598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Percantage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4427367"/>
      </c:catAx>
      <c:valAx>
        <c:axId val="11244273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6859802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Very good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Services'!$G$3:$Q$3</c:f>
            </c:strRef>
          </c:cat>
          <c:val>
            <c:numRef>
              <c:f>'Health and Health Services'!$G$4:$Q$4</c:f>
              <c:numCache/>
            </c:numRef>
          </c:val>
          <c:smooth val="0"/>
        </c:ser>
        <c:ser>
          <c:idx val="1"/>
          <c:order val="1"/>
          <c:tx>
            <c:v>Fair/bad/very bad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Services'!$G$3:$Q$3</c:f>
            </c:strRef>
          </c:cat>
          <c:val>
            <c:numRef>
              <c:f>'Health and Health Services'!$G$5:$Q$5</c:f>
              <c:numCache/>
            </c:numRef>
          </c:val>
          <c:smooth val="0"/>
        </c:ser>
        <c:axId val="2069724996"/>
        <c:axId val="412394031"/>
      </c:lineChart>
      <c:catAx>
        <c:axId val="2069724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2394031"/>
      </c:catAx>
      <c:valAx>
        <c:axId val="412394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972499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Very good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Services'!$F$122:$F$128</c:f>
            </c:strRef>
          </c:cat>
          <c:val>
            <c:numRef>
              <c:f>'Health and Health Services'!$G$122:$G$128</c:f>
              <c:numCache/>
            </c:numRef>
          </c:val>
        </c:ser>
        <c:ser>
          <c:idx val="1"/>
          <c:order val="1"/>
          <c:tx>
            <c:v>Fair/bad/very bad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Services'!$F$122:$F$128</c:f>
            </c:strRef>
          </c:cat>
          <c:val>
            <c:numRef>
              <c:f>'Health and Health Services'!$H$122:$H$128</c:f>
              <c:numCache/>
            </c:numRef>
          </c:val>
        </c:ser>
        <c:axId val="277907565"/>
        <c:axId val="68176815"/>
      </c:barChart>
      <c:catAx>
        <c:axId val="2779075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Education 		Employment 		status</a:t>
                </a:r>
              </a:p>
            </c:rich>
          </c:tx>
          <c:layout>
            <c:manualLayout>
              <c:xMode val="edge"/>
              <c:yMode val="edge"/>
              <c:x val="0.023515579071134628"/>
              <c:y val="0.034934492477928306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176815"/>
      </c:catAx>
      <c:valAx>
        <c:axId val="681768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7907565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Percent in good health 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Services'!$G$190:$P$190</c:f>
            </c:strRef>
          </c:cat>
          <c:val>
            <c:numRef>
              <c:f>'Health and Health Services'!$G$191:$P$191</c:f>
              <c:numCache/>
            </c:numRef>
          </c:val>
          <c:smooth val="0"/>
        </c:ser>
        <c:axId val="1488606660"/>
        <c:axId val="546652616"/>
      </c:lineChart>
      <c:catAx>
        <c:axId val="1488606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Income 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6652616"/>
      </c:catAx>
      <c:valAx>
        <c:axId val="546652616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 in good health</a:t>
                </a:r>
              </a:p>
            </c:rich>
          </c:tx>
          <c:layout>
            <c:manualLayout>
              <c:xMode val="edge"/>
              <c:yMode val="edge"/>
              <c:x val="0.016908212560386472"/>
              <c:y val="0.19586700090163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8606660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Satisfied with healtcare system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Services'!$I$298:$O$298</c:f>
            </c:strRef>
          </c:cat>
          <c:val>
            <c:numRef>
              <c:f>'Health and Health Services'!$I$299:$O$299</c:f>
              <c:numCache/>
            </c:numRef>
          </c:val>
          <c:smooth val="0"/>
        </c:ser>
        <c:ser>
          <c:idx val="1"/>
          <c:order val="1"/>
          <c:tx>
            <c:v>Very good health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Services'!$I$298:$O$298</c:f>
            </c:strRef>
          </c:cat>
          <c:val>
            <c:numRef>
              <c:f>'Health and Health Services'!$I$300:$O$300</c:f>
              <c:numCache/>
            </c:numRef>
          </c:val>
          <c:smooth val="0"/>
        </c:ser>
        <c:axId val="1910654267"/>
        <c:axId val="188106059"/>
      </c:lineChart>
      <c:catAx>
        <c:axId val="1910654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106059"/>
      </c:catAx>
      <c:valAx>
        <c:axId val="188106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065426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Good health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Services'!$G$439:$P$439</c:f>
            </c:strRef>
          </c:cat>
          <c:val>
            <c:numRef>
              <c:f>'Health and Health Services'!$G$440:$P$440</c:f>
              <c:numCache/>
            </c:numRef>
          </c:val>
          <c:smooth val="0"/>
        </c:ser>
        <c:ser>
          <c:idx val="1"/>
          <c:order val="1"/>
          <c:tx>
            <c:v>Happy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'Health and Health Services'!$G$439:$P$439</c:f>
            </c:strRef>
          </c:cat>
          <c:val>
            <c:numRef>
              <c:f>'Health and Health Services'!$G$441:$P$441</c:f>
              <c:numCache/>
            </c:numRef>
          </c:val>
          <c:smooth val="0"/>
        </c:ser>
        <c:axId val="1703301248"/>
        <c:axId val="340519358"/>
      </c:lineChart>
      <c:catAx>
        <c:axId val="170330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Income 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0519358"/>
      </c:catAx>
      <c:valAx>
        <c:axId val="34051935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 cent happy or in good health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330124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Pro-European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Europ'!$Q$5:$Q$7</c:f>
            </c:strRef>
          </c:cat>
          <c:val>
            <c:numRef>
              <c:f>'Europ Unif and Attach to Europ'!$R$5:$R$7</c:f>
              <c:numCache/>
            </c:numRef>
          </c:val>
        </c:ser>
        <c:ser>
          <c:idx val="1"/>
          <c:order val="1"/>
          <c:tx>
            <c:v>Sceptical European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Europ'!$Q$5:$Q$7</c:f>
            </c:strRef>
          </c:cat>
          <c:val>
            <c:numRef>
              <c:f>'Europ Unif and Attach to Europ'!$S$5:$S$7</c:f>
              <c:numCache/>
            </c:numRef>
          </c:val>
        </c:ser>
        <c:axId val="1352817712"/>
        <c:axId val="1844757874"/>
      </c:barChart>
      <c:catAx>
        <c:axId val="13528177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4757874"/>
      </c:catAx>
      <c:valAx>
        <c:axId val="18447578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2817712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Trust in EU Parliament 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Europ'!$S$30:$AC$30</c:f>
            </c:strRef>
          </c:cat>
          <c:val>
            <c:numRef>
              <c:f>'Europ Unif and Attach to Europ'!$S$31:$AC$31</c:f>
              <c:numCache/>
            </c:numRef>
          </c:val>
          <c:smooth val="0"/>
        </c:ser>
        <c:ser>
          <c:idx val="1"/>
          <c:order val="1"/>
          <c:tx>
            <c:v>Attitude to EU Unification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Europ'!$S$30:$AC$30</c:f>
            </c:strRef>
          </c:cat>
          <c:val>
            <c:numRef>
              <c:f>'Europ Unif and Attach to Europ'!$S$32:$AC$32</c:f>
              <c:numCache/>
            </c:numRef>
          </c:val>
          <c:smooth val="0"/>
        </c:ser>
        <c:axId val="325116273"/>
        <c:axId val="2033899010"/>
      </c:lineChart>
      <c:catAx>
        <c:axId val="325116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3899010"/>
      </c:catAx>
      <c:valAx>
        <c:axId val="2033899010"/>
        <c:scaling>
          <c:orientation val="minMax"/>
          <c:min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511627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028820235551514"/>
          <c:y val="0.041140701789105165"/>
          <c:w val="0.8577227921472335"/>
          <c:h val="0.786541895782386"/>
        </c:manualLayout>
      </c:layout>
      <c:barChart>
        <c:barDir val="col"/>
        <c:ser>
          <c:idx val="0"/>
          <c:order val="0"/>
          <c:tx>
            <c:v>&lt;Lower Secondary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Europ'!$AC$184:$AE$184</c:f>
            </c:strRef>
          </c:cat>
          <c:val>
            <c:numRef>
              <c:f>'Europ Unif and Attach to Europ'!$AC$185:$AE$185</c:f>
              <c:numCache/>
            </c:numRef>
          </c:val>
        </c:ser>
        <c:ser>
          <c:idx val="1"/>
          <c:order val="1"/>
          <c:tx>
            <c:v>Lower Secondary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Europ'!$AC$184:$AE$184</c:f>
            </c:strRef>
          </c:cat>
          <c:val>
            <c:numRef>
              <c:f>'Europ Unif and Attach to Europ'!$AC$186:$AE$186</c:f>
              <c:numCache/>
            </c:numRef>
          </c:val>
        </c:ser>
        <c:ser>
          <c:idx val="2"/>
          <c:order val="2"/>
          <c:tx>
            <c:v>Upper Secondary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Europ'!$AC$184:$AE$184</c:f>
            </c:strRef>
          </c:cat>
          <c:val>
            <c:numRef>
              <c:f>'Europ Unif and Attach to Europ'!$AC$187:$AE$187</c:f>
              <c:numCache/>
            </c:numRef>
          </c:val>
        </c:ser>
        <c:ser>
          <c:idx val="3"/>
          <c:order val="3"/>
          <c:tx>
            <c:v>Advanced Vocational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Europ'!$AC$184:$AE$184</c:f>
            </c:strRef>
          </c:cat>
          <c:val>
            <c:numRef>
              <c:f>'Europ Unif and Attach to Europ'!$AC$188:$AE$188</c:f>
              <c:numCache/>
            </c:numRef>
          </c:val>
        </c:ser>
        <c:ser>
          <c:idx val="4"/>
          <c:order val="4"/>
          <c:tx>
            <c:v>Tertiary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Europ'!$AC$184:$AE$184</c:f>
            </c:strRef>
          </c:cat>
          <c:val>
            <c:numRef>
              <c:f>'Europ Unif and Attach to Europ'!$AC$189:$AE$189</c:f>
              <c:numCache/>
            </c:numRef>
          </c:val>
        </c:ser>
        <c:axId val="2036823401"/>
        <c:axId val="2141790518"/>
      </c:barChart>
      <c:catAx>
        <c:axId val="2036823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1790518"/>
      </c:catAx>
      <c:valAx>
        <c:axId val="2141790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layout>
            <c:manualLayout>
              <c:xMode val="edge"/>
              <c:yMode val="edge"/>
              <c:x val="0.031984007996002"/>
              <c:y val="0.355178250851674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682340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Urban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Europ'!$AB$232:$AD$232</c:f>
            </c:strRef>
          </c:cat>
          <c:val>
            <c:numRef>
              <c:f>'Europ Unif and Attach to Europ'!$AB$233:$AD$233</c:f>
              <c:numCache/>
            </c:numRef>
          </c:val>
        </c:ser>
        <c:ser>
          <c:idx val="1"/>
          <c:order val="1"/>
          <c:tx>
            <c:v>Rural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'Europ Unif and Attach to Europ'!$AB$232:$AD$232</c:f>
            </c:strRef>
          </c:cat>
          <c:val>
            <c:numRef>
              <c:f>'Europ Unif and Attach to Europ'!$AB$234:$AD$234</c:f>
              <c:numCache/>
            </c:numRef>
          </c:val>
        </c:ser>
        <c:axId val="988031404"/>
        <c:axId val="237095320"/>
      </c:barChart>
      <c:catAx>
        <c:axId val="988031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7095320"/>
      </c:catAx>
      <c:valAx>
        <c:axId val="237095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803140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229771157442152"/>
          <c:y val="0.04663486238042097"/>
          <c:w val="0.8440081581078617"/>
          <c:h val="0.6518989602462"/>
        </c:manualLayout>
      </c:layout>
      <c:lineChart>
        <c:ser>
          <c:idx val="0"/>
          <c:order val="0"/>
          <c:tx>
            <c:v>Life Satisfaction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'Life Sat and Happiness'!$R$5:$R$15</c:f>
            </c:strRef>
          </c:cat>
          <c:val>
            <c:numRef>
              <c:f>'Life Sat and Happiness'!$S$5:$S$15</c:f>
              <c:numCache/>
            </c:numRef>
          </c:val>
          <c:smooth val="0"/>
        </c:ser>
        <c:ser>
          <c:idx val="1"/>
          <c:order val="1"/>
          <c:tx>
            <c:v>Happiness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'Life Sat and Happiness'!$R$5:$R$15</c:f>
            </c:strRef>
          </c:cat>
          <c:val>
            <c:numRef>
              <c:f>'Life Sat and Happiness'!$T$5:$T$15</c:f>
              <c:numCache/>
            </c:numRef>
          </c:val>
          <c:smooth val="0"/>
        </c:ser>
        <c:axId val="753188716"/>
        <c:axId val="1901269662"/>
      </c:lineChart>
      <c:catAx>
        <c:axId val="753188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1269662"/>
      </c:catAx>
      <c:valAx>
        <c:axId val="1901269662"/>
        <c:scaling>
          <c:orientation val="minMax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layout>
            <c:manualLayout>
              <c:xMode val="edge"/>
              <c:yMode val="edge"/>
              <c:x val="0.01938610662358643"/>
              <c:y val="0.2625579472381779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318871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Satisfied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'Econ Sat and HH Inc Adequacy'!$G$4:$G$14</c:f>
            </c:strRef>
          </c:cat>
          <c:val>
            <c:numRef>
              <c:f>'Econ Sat and HH Inc Adequacy'!$H$4:$H$14</c:f>
              <c:numCache/>
            </c:numRef>
          </c:val>
          <c:smooth val="0"/>
        </c:ser>
        <c:axId val="1495238565"/>
        <c:axId val="203406396"/>
      </c:lineChart>
      <c:catAx>
        <c:axId val="1495238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406396"/>
      </c:catAx>
      <c:valAx>
        <c:axId val="203406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 cent  of the population</a:t>
                </a:r>
              </a:p>
            </c:rich>
          </c:tx>
          <c:layout>
            <c:manualLayout>
              <c:xMode val="edge"/>
              <c:yMode val="edge"/>
              <c:x val="0.01714898177920686"/>
              <c:y val="0.2769923526292583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5238565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Satisfied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'Econ Sat and HH Inc Adequacy'!$H$88:$N$88</c:f>
            </c:strRef>
          </c:cat>
          <c:val>
            <c:numRef>
              <c:f>'Econ Sat and HH Inc Adequacy'!$H$89:$N$89</c:f>
              <c:numCache/>
            </c:numRef>
          </c:val>
        </c:ser>
        <c:axId val="326451884"/>
        <c:axId val="1580581707"/>
      </c:barChart>
      <c:catAx>
        <c:axId val="326451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0581707"/>
      </c:catAx>
      <c:valAx>
        <c:axId val="1580581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6451884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Living comfortably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'Econ Sat and HH Inc Adequacy'!$G$140:$M$140</c:f>
            </c:strRef>
          </c:cat>
          <c:val>
            <c:numRef>
              <c:f>'Econ Sat and HH Inc Adequacy'!$G$141:$M$141</c:f>
              <c:numCache/>
            </c:numRef>
          </c:val>
        </c:ser>
        <c:ser>
          <c:idx val="1"/>
          <c:order val="1"/>
          <c:tx>
            <c:v>Coping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'Econ Sat and HH Inc Adequacy'!$G$140:$M$140</c:f>
            </c:strRef>
          </c:cat>
          <c:val>
            <c:numRef>
              <c:f>'Econ Sat and HH Inc Adequacy'!$G$142:$M$142</c:f>
              <c:numCache/>
            </c:numRef>
          </c:val>
        </c:ser>
        <c:ser>
          <c:idx val="2"/>
          <c:order val="2"/>
          <c:tx>
            <c:v>Finding it difficult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'Econ Sat and HH Inc Adequacy'!$G$140:$M$140</c:f>
            </c:strRef>
          </c:cat>
          <c:val>
            <c:numRef>
              <c:f>'Econ Sat and HH Inc Adequacy'!$G$143:$M$143</c:f>
              <c:numCache/>
            </c:numRef>
          </c:val>
        </c:ser>
        <c:ser>
          <c:idx val="3"/>
          <c:order val="3"/>
          <c:tx>
            <c:v>Finding it very difficult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'Econ Sat and HH Inc Adequacy'!$G$140:$M$140</c:f>
            </c:strRef>
          </c:cat>
          <c:val>
            <c:numRef>
              <c:f>'Econ Sat and HH Inc Adequacy'!$G$144:$M$144</c:f>
              <c:numCache/>
            </c:numRef>
          </c:val>
        </c:ser>
        <c:overlap val="100"/>
        <c:axId val="654908296"/>
        <c:axId val="729210862"/>
      </c:barChart>
      <c:catAx>
        <c:axId val="654908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9210862"/>
      </c:catAx>
      <c:valAx>
        <c:axId val="72921086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490829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623417906095073"/>
          <c:y val="0.04294775959953136"/>
          <c:w val="0.9059616506270048"/>
          <c:h val="0.7771659950891373"/>
        </c:manualLayout>
      </c:layout>
      <c:lineChart>
        <c:ser>
          <c:idx val="0"/>
          <c:order val="0"/>
          <c:tx>
            <c:v>Economy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Immigration!$J$4:$T$4</c:f>
            </c:strRef>
          </c:cat>
          <c:val>
            <c:numRef>
              <c:f>Immigration!$J$5:$T$5</c:f>
              <c:numCache/>
            </c:numRef>
          </c:val>
          <c:smooth val="0"/>
        </c:ser>
        <c:ser>
          <c:idx val="1"/>
          <c:order val="1"/>
          <c:tx>
            <c:v>Culture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Immigration!$J$4:$T$4</c:f>
            </c:strRef>
          </c:cat>
          <c:val>
            <c:numRef>
              <c:f>Immigration!$J$6:$T$6</c:f>
              <c:numCache/>
            </c:numRef>
          </c:val>
          <c:smooth val="0"/>
        </c:ser>
        <c:ser>
          <c:idx val="2"/>
          <c:order val="2"/>
          <c:tx>
            <c:v>Place to live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Immigration!$J$4:$T$4</c:f>
            </c:strRef>
          </c:cat>
          <c:val>
            <c:numRef>
              <c:f>Immigration!$J$7:$T$7</c:f>
              <c:numCache/>
            </c:numRef>
          </c:val>
          <c:smooth val="0"/>
        </c:ser>
        <c:axId val="48814743"/>
        <c:axId val="747991525"/>
      </c:lineChart>
      <c:catAx>
        <c:axId val="48814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7991525"/>
      </c:catAx>
      <c:valAx>
        <c:axId val="747991525"/>
        <c:scaling>
          <c:orientation val="minMax"/>
          <c:min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Mean Score (0-10)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814743"/>
      </c:valAx>
    </c:plotArea>
    <c:legend>
      <c:legendPos val="b"/>
      <c:layout>
        <c:manualLayout>
          <c:xMode val="edge"/>
          <c:yMode val="edge"/>
          <c:x val="0.3020807815689705"/>
          <c:y val="0.9183354557172363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Economy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Immigration!$P$102:$P$106</c:f>
            </c:strRef>
          </c:cat>
          <c:val>
            <c:numRef>
              <c:f>Immigration!$Q$102:$Q$106</c:f>
              <c:numCache/>
            </c:numRef>
          </c:val>
        </c:ser>
        <c:ser>
          <c:idx val="1"/>
          <c:order val="1"/>
          <c:tx>
            <c:v>Culture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Immigration!$P$102:$P$106</c:f>
            </c:strRef>
          </c:cat>
          <c:val>
            <c:numRef>
              <c:f>Immigration!$R$102:$R$106</c:f>
              <c:numCache/>
            </c:numRef>
          </c:val>
        </c:ser>
        <c:ser>
          <c:idx val="2"/>
          <c:order val="2"/>
          <c:tx>
            <c:v>Place to live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Immigration!$P$102:$P$106</c:f>
            </c:strRef>
          </c:cat>
          <c:val>
            <c:numRef>
              <c:f>Immigration!$S$102:$S$106</c:f>
              <c:numCache/>
            </c:numRef>
          </c:val>
        </c:ser>
        <c:axId val="952779324"/>
        <c:axId val="1741495857"/>
      </c:barChart>
      <c:catAx>
        <c:axId val="9527793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1495857"/>
      </c:catAx>
      <c:valAx>
        <c:axId val="1741495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2779324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In paid work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Immigration!$G$143:$I$143</c:f>
            </c:strRef>
          </c:cat>
          <c:val>
            <c:numRef>
              <c:f>Immigration!$G$144:$I$144</c:f>
              <c:numCache/>
            </c:numRef>
          </c:val>
        </c:ser>
        <c:ser>
          <c:idx val="1"/>
          <c:order val="1"/>
          <c:tx>
            <c:v>Unemployed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Immigration!$G$143:$I$143</c:f>
            </c:strRef>
          </c:cat>
          <c:val>
            <c:numRef>
              <c:f>Immigration!$G$145:$I$145</c:f>
              <c:numCache/>
            </c:numRef>
          </c:val>
        </c:ser>
        <c:axId val="1211376009"/>
        <c:axId val="1810178152"/>
      </c:barChart>
      <c:catAx>
        <c:axId val="1211376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0178152"/>
      </c:catAx>
      <c:valAx>
        <c:axId val="1810178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layout>
            <c:manualLayout>
              <c:xMode val="edge"/>
              <c:yMode val="edge"/>
              <c:x val="0.015478164731896076"/>
              <c:y val="0.292819712970337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13760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Yes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Relig!$H$5:$R$5</c:f>
            </c:strRef>
          </c:cat>
          <c:val>
            <c:numRef>
              <c:f>Relig!$H$6:$R$6</c:f>
              <c:numCache/>
            </c:numRef>
          </c:val>
          <c:smooth val="0"/>
        </c:ser>
        <c:axId val="664623248"/>
        <c:axId val="1747644591"/>
      </c:lineChart>
      <c:catAx>
        <c:axId val="66462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7644591"/>
      </c:catAx>
      <c:valAx>
        <c:axId val="174764459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4623248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2016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'Climate Change'!$A$6:$A$8</c:f>
            </c:strRef>
          </c:cat>
          <c:val>
            <c:numRef>
              <c:f>'Climate Change'!$B$6:$B$8</c:f>
              <c:numCache/>
            </c:numRef>
          </c:val>
        </c:ser>
        <c:ser>
          <c:idx val="1"/>
          <c:order val="1"/>
          <c:tx>
            <c:v>2021/22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'Climate Change'!$A$6:$A$8</c:f>
            </c:strRef>
          </c:cat>
          <c:val>
            <c:numRef>
              <c:f>'Climate Change'!$C$6:$C$8</c:f>
              <c:numCache/>
            </c:numRef>
          </c:val>
        </c:ser>
        <c:ser>
          <c:idx val="2"/>
          <c:order val="2"/>
          <c:tx>
            <c:v>2023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'Climate Change'!$A$6:$A$8</c:f>
            </c:strRef>
          </c:cat>
          <c:val>
            <c:numRef>
              <c:f>'Climate Change'!$D$6:$D$8</c:f>
              <c:numCache/>
            </c:numRef>
          </c:val>
        </c:ser>
        <c:axId val="438660478"/>
        <c:axId val="1523122727"/>
      </c:barChart>
      <c:catAx>
        <c:axId val="438660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3122727"/>
      </c:catAx>
      <c:valAx>
        <c:axId val="1523122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Mean score (0-10)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866047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Male 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Gender!$G$2:$J$2</c:f>
            </c:strRef>
          </c:cat>
          <c:val>
            <c:numRef>
              <c:f>Gender!$G$3:$J$3</c:f>
              <c:numCache/>
            </c:numRef>
          </c:val>
        </c:ser>
        <c:ser>
          <c:idx val="1"/>
          <c:order val="1"/>
          <c:tx>
            <c:v>Female 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Gender!$G$2:$J$2</c:f>
            </c:strRef>
          </c:cat>
          <c:val>
            <c:numRef>
              <c:f>Gender!$G$4:$J$4</c:f>
              <c:numCache/>
            </c:numRef>
          </c:val>
        </c:ser>
        <c:axId val="335300083"/>
        <c:axId val="1003420735"/>
      </c:barChart>
      <c:catAx>
        <c:axId val="3353000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3420735"/>
      </c:catAx>
      <c:valAx>
        <c:axId val="10034207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5300083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Gender!$G$31:$J$31</c:f>
            </c:strRef>
          </c:cat>
          <c:val>
            <c:numRef>
              <c:f>Gender!$G$32:$J$32</c:f>
              <c:numCache/>
            </c:numRef>
          </c:val>
        </c:ser>
        <c:ser>
          <c:idx val="1"/>
          <c:order val="1"/>
          <c:tx>
            <c:v>Female 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Gender!$G$31:$J$31</c:f>
            </c:strRef>
          </c:cat>
          <c:val>
            <c:numRef>
              <c:f>Gender!$G$33:$J$33</c:f>
              <c:numCache/>
            </c:numRef>
          </c:val>
        </c:ser>
        <c:axId val="1778166925"/>
        <c:axId val="1850857597"/>
      </c:barChart>
      <c:catAx>
        <c:axId val="17781669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0857597"/>
      </c:catAx>
      <c:valAx>
        <c:axId val="18508575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8166925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Gender!$H$57:$J$57</c:f>
            </c:strRef>
          </c:cat>
          <c:val>
            <c:numRef>
              <c:f>Gender!$H$58:$J$58</c:f>
              <c:numCache/>
            </c:numRef>
          </c:val>
        </c:ser>
        <c:ser>
          <c:idx val="1"/>
          <c:order val="1"/>
          <c:tx>
            <c:v>Female 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Gender!$H$57:$J$57</c:f>
            </c:strRef>
          </c:cat>
          <c:val>
            <c:numRef>
              <c:f>Gender!$H$59:$J$59</c:f>
              <c:numCache/>
            </c:numRef>
          </c:val>
        </c:ser>
        <c:axId val="1439788318"/>
        <c:axId val="1324540845"/>
      </c:barChart>
      <c:catAx>
        <c:axId val="14397883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4540845"/>
      </c:catAx>
      <c:valAx>
        <c:axId val="13245408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9788318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Gender!$H$81:$J$81</c:f>
            </c:strRef>
          </c:cat>
          <c:val>
            <c:numRef>
              <c:f>Gender!$H$82:$J$82</c:f>
              <c:numCache/>
            </c:numRef>
          </c:val>
        </c:ser>
        <c:ser>
          <c:idx val="1"/>
          <c:order val="1"/>
          <c:tx>
            <c:v>Female 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Gender!$H$81:$J$81</c:f>
            </c:strRef>
          </c:cat>
          <c:val>
            <c:numRef>
              <c:f>Gender!$H$83:$J$83</c:f>
              <c:numCache/>
            </c:numRef>
          </c:val>
        </c:ser>
        <c:axId val="694783378"/>
        <c:axId val="1580176210"/>
      </c:barChart>
      <c:catAx>
        <c:axId val="6947833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0176210"/>
      </c:catAx>
      <c:valAx>
        <c:axId val="15801762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4783378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Gender!$G$110:$M$110</c:f>
            </c:strRef>
          </c:cat>
          <c:val>
            <c:numRef>
              <c:f>Gender!$G$111:$M$111</c:f>
              <c:numCache/>
            </c:numRef>
          </c:val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Gender!$G$110:$M$110</c:f>
            </c:strRef>
          </c:cat>
          <c:val>
            <c:numRef>
              <c:f>Gender!$G$112:$M$112</c:f>
              <c:numCache/>
            </c:numRef>
          </c:val>
        </c:ser>
        <c:axId val="1577627221"/>
        <c:axId val="1671563774"/>
      </c:barChart>
      <c:catAx>
        <c:axId val="1577627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1563774"/>
      </c:catAx>
      <c:valAx>
        <c:axId val="1671563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76272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Gender!$G$143:$M$143</c:f>
            </c:strRef>
          </c:cat>
          <c:val>
            <c:numRef>
              <c:f>Gender!$G$144:$M$144</c:f>
              <c:numCache/>
            </c:numRef>
          </c:val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Gender!$G$143:$M$143</c:f>
            </c:strRef>
          </c:cat>
          <c:val>
            <c:numRef>
              <c:f>Gender!$G$145:$M$145</c:f>
              <c:numCache/>
            </c:numRef>
          </c:val>
        </c:ser>
        <c:axId val="2000091476"/>
        <c:axId val="526006203"/>
      </c:barChart>
      <c:catAx>
        <c:axId val="2000091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6006203"/>
      </c:catAx>
      <c:valAx>
        <c:axId val="526006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009147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Gender!$G$177:$M$177</c:f>
            </c:strRef>
          </c:cat>
          <c:val>
            <c:numRef>
              <c:f>Gender!$G$178:$M$178</c:f>
              <c:numCache/>
            </c:numRef>
          </c:val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Gender!$G$177:$M$177</c:f>
            </c:strRef>
          </c:cat>
          <c:val>
            <c:numRef>
              <c:f>Gender!$G$179:$M$179</c:f>
              <c:numCache/>
            </c:numRef>
          </c:val>
        </c:ser>
        <c:axId val="351412452"/>
        <c:axId val="1672006896"/>
      </c:barChart>
      <c:catAx>
        <c:axId val="351412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2006896"/>
      </c:catAx>
      <c:valAx>
        <c:axId val="1672006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141245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Gender!$G$211:$M$211</c:f>
            </c:strRef>
          </c:cat>
          <c:val>
            <c:numRef>
              <c:f>Gender!$G$212:$M$212</c:f>
              <c:numCache/>
            </c:numRef>
          </c:val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Gender!$G$211:$M$211</c:f>
            </c:strRef>
          </c:cat>
          <c:val>
            <c:numRef>
              <c:f>Gender!$G$213:$M$213</c:f>
              <c:numCache/>
            </c:numRef>
          </c:val>
        </c:ser>
        <c:axId val="996512005"/>
        <c:axId val="1071071990"/>
      </c:barChart>
      <c:catAx>
        <c:axId val="996512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1071990"/>
      </c:catAx>
      <c:valAx>
        <c:axId val="1071071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65120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Gender!$G$246:$K$246</c:f>
            </c:strRef>
          </c:cat>
          <c:val>
            <c:numRef>
              <c:f>Gender!$G$247:$K$247</c:f>
              <c:numCache/>
            </c:numRef>
          </c:val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Gender!$G$246:$K$246</c:f>
            </c:strRef>
          </c:cat>
          <c:val>
            <c:numRef>
              <c:f>Gender!$G$248:$K$248</c:f>
              <c:numCache/>
            </c:numRef>
          </c:val>
        </c:ser>
        <c:axId val="976315225"/>
        <c:axId val="1210762100"/>
      </c:barChart>
      <c:catAx>
        <c:axId val="976315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0762100"/>
      </c:catAx>
      <c:valAx>
        <c:axId val="1210762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63152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4790417590835221"/>
          <c:y val="0.08840484048404841"/>
          <c:w val="0.4777585256325335"/>
          <c:h val="0.8095125733045746"/>
        </c:manualLayout>
      </c:layout>
      <c:barChart>
        <c:barDir val="bar"/>
        <c:ser>
          <c:idx val="0"/>
          <c:order val="0"/>
          <c:tx>
            <c:strRef>
              <c:f>'Hlth inequalities'!$G$5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'Hlth inequalities'!$F$6:$F$17</c:f>
            </c:strRef>
          </c:cat>
          <c:val>
            <c:numRef>
              <c:f>'Hlth inequalities'!$G$6:$G$17</c:f>
              <c:numCache/>
            </c:numRef>
          </c:val>
        </c:ser>
        <c:axId val="1972328270"/>
        <c:axId val="1710812463"/>
      </c:barChart>
      <c:catAx>
        <c:axId val="19723282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0812463"/>
      </c:catAx>
      <c:valAx>
        <c:axId val="17108124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2328270"/>
        <c:crosses val="max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Percentage</a:t>
            </a:r>
          </a:p>
        </c:rich>
      </c:tx>
      <c:layout>
        <c:manualLayout>
          <c:xMode val="edge"/>
          <c:yMode val="edge"/>
          <c:x val="0.3891371100736302"/>
          <c:y val="0.03947368421052631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'Hlth inequalities'!$A$168:$A$169</c:f>
            </c:strRef>
          </c:cat>
          <c:val>
            <c:numRef>
              <c:f>'Hlth inequalities'!$C$168:$C$169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None or almost none of the time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'Hlth inequalities'!$F$177:$F$184</c:f>
            </c:strRef>
          </c:cat>
          <c:val>
            <c:numRef>
              <c:f>'Hlth inequalities'!$G$177:$G$184</c:f>
              <c:numCache/>
            </c:numRef>
          </c:val>
        </c:ser>
        <c:ser>
          <c:idx val="1"/>
          <c:order val="1"/>
          <c:tx>
            <c:v>Some of the time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'Hlth inequalities'!$F$177:$F$184</c:f>
            </c:strRef>
          </c:cat>
          <c:val>
            <c:numRef>
              <c:f>'Hlth inequalities'!$H$177:$H$184</c:f>
              <c:numCache/>
            </c:numRef>
          </c:val>
        </c:ser>
        <c:ser>
          <c:idx val="2"/>
          <c:order val="2"/>
          <c:tx>
            <c:v>Most of the time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'Hlth inequalities'!$F$177:$F$184</c:f>
            </c:strRef>
          </c:cat>
          <c:val>
            <c:numRef>
              <c:f>'Hlth inequalities'!$I$177:$I$184</c:f>
              <c:numCache/>
            </c:numRef>
          </c:val>
        </c:ser>
        <c:ser>
          <c:idx val="3"/>
          <c:order val="3"/>
          <c:tx>
            <c:v>All or almost all of the time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'Hlth inequalities'!$F$177:$F$184</c:f>
            </c:strRef>
          </c:cat>
          <c:val>
            <c:numRef>
              <c:f>'Hlth inequalities'!$J$177:$J$184</c:f>
              <c:numCache/>
            </c:numRef>
          </c:val>
        </c:ser>
        <c:overlap val="100"/>
        <c:axId val="1507651213"/>
        <c:axId val="737178092"/>
      </c:barChart>
      <c:catAx>
        <c:axId val="15076512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7178092"/>
      </c:catAx>
      <c:valAx>
        <c:axId val="7371780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7651213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'Hlth inequalities'!$F$258:$F$265</c:f>
            </c:strRef>
          </c:cat>
          <c:val>
            <c:numRef>
              <c:f>'Hlth inequalities'!$G$258:$G$265</c:f>
              <c:numCache/>
            </c:numRef>
          </c:val>
        </c:ser>
        <c:axId val="2042312722"/>
        <c:axId val="1317848384"/>
      </c:barChart>
      <c:catAx>
        <c:axId val="20423127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848384"/>
      </c:catAx>
      <c:valAx>
        <c:axId val="1317848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312722"/>
        <c:crosses val="max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experience'!$A$7:$A$9</c:f>
            </c:strRef>
          </c:cat>
          <c:val>
            <c:numRef>
              <c:f>'C19 - Personal experience'!$C$7:$C$9</c:f>
              <c:numCache/>
            </c:numRef>
          </c:val>
        </c:ser>
        <c:axId val="892376099"/>
        <c:axId val="318312587"/>
      </c:barChart>
      <c:catAx>
        <c:axId val="892376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8312587"/>
      </c:catAx>
      <c:valAx>
        <c:axId val="318312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2376099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experience'!$A$24:$A$27</c:f>
            </c:strRef>
          </c:cat>
          <c:val>
            <c:numRef>
              <c:f>'C19 - Personal experience'!$C$24:$C$27</c:f>
              <c:numCache/>
            </c:numRef>
          </c:val>
        </c:ser>
        <c:axId val="1894986114"/>
        <c:axId val="772994187"/>
      </c:barChart>
      <c:catAx>
        <c:axId val="1894986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2994187"/>
      </c:catAx>
      <c:valAx>
        <c:axId val="772994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4986114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experience'!$A$44:$A$45</c:f>
            </c:strRef>
          </c:cat>
          <c:val>
            <c:numRef>
              <c:f>'C19 - Personal experience'!$C$44:$C$45</c:f>
              <c:numCache/>
            </c:numRef>
          </c:val>
        </c:ser>
        <c:axId val="253024698"/>
        <c:axId val="1291636586"/>
      </c:barChart>
      <c:catAx>
        <c:axId val="253024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1636586"/>
      </c:catAx>
      <c:valAx>
        <c:axId val="129163658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3024698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experience'!$A$63:$A$64</c:f>
            </c:strRef>
          </c:cat>
          <c:val>
            <c:numRef>
              <c:f>'C19 - Personal experience'!$C$63:$C$64</c:f>
              <c:numCache/>
            </c:numRef>
          </c:val>
        </c:ser>
        <c:axId val="137652111"/>
        <c:axId val="74044886"/>
      </c:barChart>
      <c:catAx>
        <c:axId val="137652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044886"/>
      </c:catAx>
      <c:valAx>
        <c:axId val="74044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652111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experience'!$A$83:$A$84</c:f>
            </c:strRef>
          </c:cat>
          <c:val>
            <c:numRef>
              <c:f>'C19 - Personal experience'!$C$83:$C$84</c:f>
              <c:numCache/>
            </c:numRef>
          </c:val>
        </c:ser>
        <c:axId val="2093773920"/>
        <c:axId val="1089112314"/>
      </c:barChart>
      <c:catAx>
        <c:axId val="209377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9112314"/>
      </c:catAx>
      <c:valAx>
        <c:axId val="1089112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3773920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experience'!$A$102:$A$103</c:f>
            </c:strRef>
          </c:cat>
          <c:val>
            <c:numRef>
              <c:f>'C19 - Personal experience'!$C$102:$C$103</c:f>
              <c:numCache/>
            </c:numRef>
          </c:val>
        </c:ser>
        <c:axId val="1449708042"/>
        <c:axId val="1958831612"/>
      </c:barChart>
      <c:catAx>
        <c:axId val="1449708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8831612"/>
      </c:catAx>
      <c:valAx>
        <c:axId val="1958831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9708042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experience'!$A$124:$A$125</c:f>
            </c:strRef>
          </c:cat>
          <c:val>
            <c:numRef>
              <c:f>'C19 - Personal experience'!$D$124:$D$125</c:f>
              <c:numCache/>
            </c:numRef>
          </c:val>
        </c:ser>
        <c:axId val="1604424903"/>
        <c:axId val="337444376"/>
      </c:barChart>
      <c:catAx>
        <c:axId val="1604424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7444376"/>
      </c:catAx>
      <c:valAx>
        <c:axId val="33744437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4424903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experience'!$A$143:$A$144</c:f>
            </c:strRef>
          </c:cat>
          <c:val>
            <c:numRef>
              <c:f>'C19 - Personal experience'!$D$143:$D$144</c:f>
              <c:numCache/>
            </c:numRef>
          </c:val>
        </c:ser>
        <c:axId val="1610575059"/>
        <c:axId val="201109156"/>
      </c:barChart>
      <c:catAx>
        <c:axId val="1610575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109156"/>
      </c:catAx>
      <c:valAx>
        <c:axId val="201109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0575059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4059371931449745"/>
          <c:y val="0.05228757191412561"/>
          <c:w val="0.5696549637177706"/>
          <c:h val="0.8374414197666484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Personal experience'!$P$18:$P$23</c:f>
            </c:strRef>
          </c:cat>
          <c:val>
            <c:numRef>
              <c:f>'C19 - Personal experience'!$Q$18:$Q$23</c:f>
              <c:numCache/>
            </c:numRef>
          </c:val>
        </c:ser>
        <c:axId val="2128706858"/>
        <c:axId val="2056566979"/>
      </c:barChart>
      <c:catAx>
        <c:axId val="21287068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6566979"/>
      </c:catAx>
      <c:valAx>
        <c:axId val="20565669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8706858"/>
        <c:crosses val="max"/>
      </c:valAx>
    </c:plotArea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Prioritisations'!$A$9:$A$19</c:f>
            </c:strRef>
          </c:cat>
          <c:val>
            <c:numRef>
              <c:f>'C19 - Prioritisations'!$C$9:$C$19</c:f>
              <c:numCache/>
            </c:numRef>
          </c:val>
        </c:ser>
        <c:axId val="1178053279"/>
        <c:axId val="256395911"/>
      </c:barChart>
      <c:catAx>
        <c:axId val="11780532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6395911"/>
      </c:catAx>
      <c:valAx>
        <c:axId val="2563959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8053279"/>
        <c:crosses val="max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Yes, I tested positive for COVID-19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Prioritisations'!$H$25:$H$35</c:f>
            </c:strRef>
          </c:cat>
          <c:val>
            <c:numRef>
              <c:f>'C19 - Prioritisations'!$I$25:$I$35</c:f>
              <c:numCache/>
            </c:numRef>
          </c:val>
        </c:ser>
        <c:ser>
          <c:idx val="1"/>
          <c:order val="1"/>
          <c:tx>
            <c:v>Yes, I think I had COVID-19 but was not tested/did not test positive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Prioritisations'!$H$25:$H$35</c:f>
            </c:strRef>
          </c:cat>
          <c:val>
            <c:numRef>
              <c:f>'C19 - Prioritisations'!$J$25:$J$35</c:f>
              <c:numCache/>
            </c:numRef>
          </c:val>
        </c:ser>
        <c:ser>
          <c:idx val="2"/>
          <c:order val="2"/>
          <c:tx>
            <c:v> No, I have not had COVID-19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Prioritisations'!$H$25:$H$35</c:f>
            </c:strRef>
          </c:cat>
          <c:val>
            <c:numRef>
              <c:f>'C19 - Prioritisations'!$K$25:$K$35</c:f>
              <c:numCache/>
            </c:numRef>
          </c:val>
        </c:ser>
        <c:axId val="1974747032"/>
        <c:axId val="783825858"/>
      </c:barChart>
      <c:catAx>
        <c:axId val="19747470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3825858"/>
      </c:catAx>
      <c:valAx>
        <c:axId val="7838258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4747032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Prioritisations'!$A$92:$A$102</c:f>
            </c:strRef>
          </c:cat>
          <c:val>
            <c:numRef>
              <c:f>'C19 - Prioritisations'!$D$92:$D$102</c:f>
              <c:numCache/>
            </c:numRef>
          </c:val>
        </c:ser>
        <c:axId val="73089145"/>
        <c:axId val="1083273659"/>
      </c:barChart>
      <c:catAx>
        <c:axId val="730891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3273659"/>
      </c:catAx>
      <c:valAx>
        <c:axId val="1083273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089145"/>
        <c:crosses val="max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Yes, I tested positive for COVID-19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Prioritisations'!$H$107:$H$117</c:f>
            </c:strRef>
          </c:cat>
          <c:val>
            <c:numRef>
              <c:f>'C19 - Prioritisations'!$I$107:$I$117</c:f>
              <c:numCache/>
            </c:numRef>
          </c:val>
        </c:ser>
        <c:ser>
          <c:idx val="1"/>
          <c:order val="1"/>
          <c:tx>
            <c:v>Yes, I think I had COVID-19 but was not tested/did not test positive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Prioritisations'!$H$107:$H$117</c:f>
            </c:strRef>
          </c:cat>
          <c:val>
            <c:numRef>
              <c:f>'C19 - Prioritisations'!$J$107:$J$117</c:f>
              <c:numCache/>
            </c:numRef>
          </c:val>
        </c:ser>
        <c:ser>
          <c:idx val="2"/>
          <c:order val="2"/>
          <c:tx>
            <c:v> No, I have not had COVID-19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Prioritisations'!$H$107:$H$117</c:f>
            </c:strRef>
          </c:cat>
          <c:val>
            <c:numRef>
              <c:f>'C19 - Prioritisations'!$K$107:$K$117</c:f>
              <c:numCache/>
            </c:numRef>
          </c:val>
        </c:ser>
        <c:axId val="885926049"/>
        <c:axId val="1444958440"/>
      </c:barChart>
      <c:catAx>
        <c:axId val="8859260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4958440"/>
      </c:catAx>
      <c:valAx>
        <c:axId val="14449584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5926049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Prioritisations'!$A$174:$A$184</c:f>
            </c:strRef>
          </c:cat>
          <c:val>
            <c:numRef>
              <c:f>'C19 - Prioritisations'!$C$174:$C$184</c:f>
              <c:numCache/>
            </c:numRef>
          </c:val>
        </c:ser>
        <c:axId val="1452667242"/>
        <c:axId val="346304164"/>
      </c:barChart>
      <c:catAx>
        <c:axId val="14526672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6304164"/>
      </c:catAx>
      <c:valAx>
        <c:axId val="3463041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2667242"/>
        <c:crosses val="max"/>
      </c:valAx>
    </c:plotArea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Yes, I tested positive for COVID-19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Prioritisations'!$H$191:$H$201</c:f>
            </c:strRef>
          </c:cat>
          <c:val>
            <c:numRef>
              <c:f>'C19 - Prioritisations'!$I$191:$I$201</c:f>
              <c:numCache/>
            </c:numRef>
          </c:val>
        </c:ser>
        <c:ser>
          <c:idx val="1"/>
          <c:order val="1"/>
          <c:tx>
            <c:v>Yes, I think I had COVID-19 but was not tested/did not test positive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Prioritisations'!$H$191:$H$201</c:f>
            </c:strRef>
          </c:cat>
          <c:val>
            <c:numRef>
              <c:f>'C19 - Prioritisations'!$J$191:$J$201</c:f>
              <c:numCache/>
            </c:numRef>
          </c:val>
        </c:ser>
        <c:ser>
          <c:idx val="2"/>
          <c:order val="2"/>
          <c:tx>
            <c:v> No, I have not had COVID-19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Prioritisations'!$H$191:$H$201</c:f>
            </c:strRef>
          </c:cat>
          <c:val>
            <c:numRef>
              <c:f>'C19 - Prioritisations'!$K$191:$K$201</c:f>
              <c:numCache/>
            </c:numRef>
          </c:val>
        </c:ser>
        <c:axId val="1962266249"/>
        <c:axId val="479768432"/>
      </c:barChart>
      <c:catAx>
        <c:axId val="19622662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9768432"/>
      </c:catAx>
      <c:valAx>
        <c:axId val="4797684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2266249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Satisfaction'!$A$9:$A$19</c:f>
            </c:strRef>
          </c:cat>
          <c:val>
            <c:numRef>
              <c:f>'C19 - Satisfaction'!$C$9:$C$19</c:f>
              <c:numCache/>
            </c:numRef>
          </c:val>
          <c:smooth val="0"/>
        </c:ser>
        <c:axId val="187293051"/>
        <c:axId val="782292365"/>
      </c:lineChart>
      <c:catAx>
        <c:axId val="187293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2292365"/>
      </c:catAx>
      <c:valAx>
        <c:axId val="782292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293051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648703668139045"/>
          <c:y val="0.03859649122807018"/>
          <c:w val="0.8082121503104794"/>
          <c:h val="0.7997425058709766"/>
        </c:manualLayout>
      </c:layout>
      <c:barChart>
        <c:barDir val="bar"/>
        <c:ser>
          <c:idx val="0"/>
          <c:order val="0"/>
          <c:tx>
            <c:v>Yes, I tested positive for COVID-19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Satisfaction'!$J$25:$J$35</c:f>
            </c:strRef>
          </c:cat>
          <c:val>
            <c:numRef>
              <c:f>'C19 - Satisfaction'!$K$25:$K$35</c:f>
              <c:numCache/>
            </c:numRef>
          </c:val>
        </c:ser>
        <c:ser>
          <c:idx val="1"/>
          <c:order val="1"/>
          <c:tx>
            <c:v>Yes, I think I had COVID-19 but was not tested/did not test positive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Satisfaction'!$J$25:$J$35</c:f>
            </c:strRef>
          </c:cat>
          <c:val>
            <c:numRef>
              <c:f>'C19 - Satisfaction'!$L$25:$L$35</c:f>
              <c:numCache/>
            </c:numRef>
          </c:val>
        </c:ser>
        <c:ser>
          <c:idx val="2"/>
          <c:order val="2"/>
          <c:tx>
            <c:v> No, I have not had COVID-19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Satisfaction'!$J$25:$J$35</c:f>
            </c:strRef>
          </c:cat>
          <c:val>
            <c:numRef>
              <c:f>'C19 - Satisfaction'!$M$25:$M$35</c:f>
              <c:numCache/>
            </c:numRef>
          </c:val>
        </c:ser>
        <c:axId val="20626213"/>
        <c:axId val="541859768"/>
      </c:barChart>
      <c:catAx>
        <c:axId val="206262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1859768"/>
      </c:catAx>
      <c:valAx>
        <c:axId val="5418597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26213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Satisfaction'!$A$94:$A$104</c:f>
            </c:strRef>
          </c:cat>
          <c:val>
            <c:numRef>
              <c:f>'C19 - Satisfaction'!$C$94:$C$104</c:f>
              <c:numCache/>
            </c:numRef>
          </c:val>
          <c:smooth val="0"/>
        </c:ser>
        <c:axId val="373473811"/>
        <c:axId val="818819523"/>
      </c:lineChart>
      <c:catAx>
        <c:axId val="373473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8819523"/>
      </c:catAx>
      <c:valAx>
        <c:axId val="818819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3473811"/>
      </c:valAx>
    </c:plotArea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Yes, I tested positive for COVID-19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Satisfaction'!$H$112:$H$122</c:f>
            </c:strRef>
          </c:cat>
          <c:val>
            <c:numRef>
              <c:f>'C19 - Satisfaction'!$I$112:$I$122</c:f>
              <c:numCache/>
            </c:numRef>
          </c:val>
        </c:ser>
        <c:ser>
          <c:idx val="1"/>
          <c:order val="1"/>
          <c:tx>
            <c:v>Yes, I think I had COVID-19 but was not tested/did not test positive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Satisfaction'!$H$112:$H$122</c:f>
            </c:strRef>
          </c:cat>
          <c:val>
            <c:numRef>
              <c:f>'C19 - Satisfaction'!$J$112:$J$122</c:f>
              <c:numCache/>
            </c:numRef>
          </c:val>
        </c:ser>
        <c:ser>
          <c:idx val="2"/>
          <c:order val="2"/>
          <c:tx>
            <c:v> No, I have not had COVID-19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Satisfaction'!$H$112:$H$122</c:f>
            </c:strRef>
          </c:cat>
          <c:val>
            <c:numRef>
              <c:f>'C19 - Satisfaction'!$K$112:$K$122</c:f>
              <c:numCache/>
            </c:numRef>
          </c:val>
        </c:ser>
        <c:axId val="778841144"/>
        <c:axId val="1786376139"/>
      </c:barChart>
      <c:catAx>
        <c:axId val="7788411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6376139"/>
      </c:catAx>
      <c:valAx>
        <c:axId val="17863761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8841144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Satisfaction'!$A$183:$A$193</c:f>
            </c:strRef>
          </c:cat>
          <c:val>
            <c:numRef>
              <c:f>'C19 - Satisfaction'!$C$183:$C$193</c:f>
              <c:numCache/>
            </c:numRef>
          </c:val>
          <c:smooth val="0"/>
        </c:ser>
        <c:axId val="1143727882"/>
        <c:axId val="406194400"/>
      </c:lineChart>
      <c:catAx>
        <c:axId val="1143727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6194400"/>
      </c:catAx>
      <c:valAx>
        <c:axId val="406194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3727882"/>
      </c:valAx>
    </c:plotArea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Yes, I tested positive for COVID-19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Satisfaction'!$G$201:$G$211</c:f>
            </c:strRef>
          </c:cat>
          <c:val>
            <c:numRef>
              <c:f>'C19 - Satisfaction'!$H$201:$H$211</c:f>
              <c:numCache/>
            </c:numRef>
          </c:val>
        </c:ser>
        <c:ser>
          <c:idx val="1"/>
          <c:order val="1"/>
          <c:tx>
            <c:v>Yes, I think I had COVID-19 but was not tested/did not test positive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Satisfaction'!$G$201:$G$211</c:f>
            </c:strRef>
          </c:cat>
          <c:val>
            <c:numRef>
              <c:f>'C19 - Satisfaction'!$I$201:$I$211</c:f>
              <c:numCache/>
            </c:numRef>
          </c:val>
        </c:ser>
        <c:ser>
          <c:idx val="2"/>
          <c:order val="2"/>
          <c:tx>
            <c:v> No, I have not had COVID-19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Satisfaction'!$G$201:$G$211</c:f>
            </c:strRef>
          </c:cat>
          <c:val>
            <c:numRef>
              <c:f>'C19 - Satisfaction'!$J$201:$J$211</c:f>
              <c:numCache/>
            </c:numRef>
          </c:val>
        </c:ser>
        <c:axId val="1085335749"/>
        <c:axId val="310615118"/>
      </c:barChart>
      <c:catAx>
        <c:axId val="10853357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0615118"/>
      </c:catAx>
      <c:valAx>
        <c:axId val="3106151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5335749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Satisfaction'!$A$271:$A$281</c:f>
            </c:strRef>
          </c:cat>
          <c:val>
            <c:numRef>
              <c:f>'C19 - Satisfaction'!$C$271:$C$281</c:f>
              <c:numCache/>
            </c:numRef>
          </c:val>
          <c:smooth val="0"/>
        </c:ser>
        <c:axId val="1219509779"/>
        <c:axId val="878753600"/>
      </c:lineChart>
      <c:catAx>
        <c:axId val="1219509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8753600"/>
      </c:catAx>
      <c:valAx>
        <c:axId val="878753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9509779"/>
      </c:valAx>
    </c:plotArea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Yes, I tested positive for COVID-19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Satisfaction'!$G$289:$G$299</c:f>
            </c:strRef>
          </c:cat>
          <c:val>
            <c:numRef>
              <c:f>'C19 - Satisfaction'!$H$289:$H$299</c:f>
              <c:numCache/>
            </c:numRef>
          </c:val>
        </c:ser>
        <c:ser>
          <c:idx val="1"/>
          <c:order val="1"/>
          <c:tx>
            <c:v>Yes, I think I had COVID-19 but was not tested/did not test positive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Satisfaction'!$G$289:$G$299</c:f>
            </c:strRef>
          </c:cat>
          <c:val>
            <c:numRef>
              <c:f>'C19 - Satisfaction'!$I$289:$I$299</c:f>
              <c:numCache/>
            </c:numRef>
          </c:val>
        </c:ser>
        <c:ser>
          <c:idx val="2"/>
          <c:order val="2"/>
          <c:tx>
            <c:v> No, I have not had COVID-19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Satisfaction'!$G$289:$G$299</c:f>
            </c:strRef>
          </c:cat>
          <c:val>
            <c:numRef>
              <c:f>'C19 - Satisfaction'!$J$289:$J$299</c:f>
              <c:numCache/>
            </c:numRef>
          </c:val>
        </c:ser>
        <c:axId val="1200465307"/>
        <c:axId val="690061036"/>
      </c:barChart>
      <c:catAx>
        <c:axId val="12004653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0061036"/>
      </c:catAx>
      <c:valAx>
        <c:axId val="6900610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0465307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Satisfaction'!$A$359:$A$369</c:f>
            </c:strRef>
          </c:cat>
          <c:val>
            <c:numRef>
              <c:f>'C19 - Satisfaction'!$C$359:$C$369</c:f>
              <c:numCache/>
            </c:numRef>
          </c:val>
          <c:smooth val="0"/>
        </c:ser>
        <c:axId val="296557264"/>
        <c:axId val="1426120904"/>
      </c:lineChart>
      <c:catAx>
        <c:axId val="29655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6120904"/>
      </c:catAx>
      <c:valAx>
        <c:axId val="1426120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6557264"/>
      </c:valAx>
    </c:plotArea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Yes, I tested positive for COVID-19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Satisfaction'!$G$376:$G$386</c:f>
            </c:strRef>
          </c:cat>
          <c:val>
            <c:numRef>
              <c:f>'C19 - Satisfaction'!$H$376:$H$386</c:f>
              <c:numCache/>
            </c:numRef>
          </c:val>
        </c:ser>
        <c:ser>
          <c:idx val="1"/>
          <c:order val="1"/>
          <c:tx>
            <c:v>Yes, I think I had COVID-19 but was not tested/did not test positive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Satisfaction'!$G$376:$G$386</c:f>
            </c:strRef>
          </c:cat>
          <c:val>
            <c:numRef>
              <c:f>'C19 - Satisfaction'!$I$376:$I$386</c:f>
              <c:numCache/>
            </c:numRef>
          </c:val>
        </c:ser>
        <c:ser>
          <c:idx val="2"/>
          <c:order val="2"/>
          <c:tx>
            <c:v> No, I have not had COVID-19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'C19 - Satisfaction'!$G$376:$G$386</c:f>
            </c:strRef>
          </c:cat>
          <c:val>
            <c:numRef>
              <c:f>'C19 - Satisfaction'!$J$376:$J$386</c:f>
              <c:numCache/>
            </c:numRef>
          </c:val>
        </c:ser>
        <c:axId val="106726972"/>
        <c:axId val="1935350159"/>
      </c:barChart>
      <c:catAx>
        <c:axId val="1067269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5350159"/>
      </c:catAx>
      <c:valAx>
        <c:axId val="19353501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726972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1909878087669"/>
          <c:y val="0.08953378700476675"/>
          <c:w val="0.7985608336712842"/>
          <c:h val="0.8006819028395455"/>
        </c:manualLayout>
      </c:layout>
      <c:lineChart>
        <c:varyColors val="0"/>
        <c:ser>
          <c:idx val="0"/>
          <c:order val="0"/>
          <c:tx>
            <c:v>Economic Satisfaction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'Economic Sat'!$B$9:$B$17</c:f>
            </c:strRef>
          </c:cat>
          <c:val>
            <c:numRef>
              <c:f>'Economic Sat'!$C$9:$C$17</c:f>
              <c:numCache/>
            </c:numRef>
          </c:val>
          <c:smooth val="0"/>
        </c:ser>
        <c:axId val="1683643720"/>
        <c:axId val="1120658870"/>
      </c:lineChart>
      <c:catAx>
        <c:axId val="1683643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120658870"/>
      </c:catAx>
      <c:valAx>
        <c:axId val="112065887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% of the population</a:t>
                </a:r>
              </a:p>
            </c:rich>
          </c:tx>
          <c:layout>
            <c:manualLayout>
              <c:xMode val="edge"/>
              <c:yMode val="edge"/>
              <c:x val="0.021918842817926498"/>
              <c:y val="0.31840855427355447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3643720"/>
        <c:minorUnit val="0.2"/>
      </c:valAx>
    </c:plotArea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343215487325829"/>
          <c:y val="0.06915833486345567"/>
          <c:w val="0.8519593440081736"/>
          <c:h val="0.8008053285998886"/>
        </c:manualLayout>
      </c:layout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'Economic Sat'!$A$55:$A$61</c:f>
            </c:strRef>
          </c:cat>
          <c:val>
            <c:numRef>
              <c:f>'Economic Sat'!$B$55:$B$61</c:f>
              <c:numCache/>
            </c:numRef>
          </c:val>
        </c:ser>
        <c:axId val="1407439188"/>
        <c:axId val="1458019557"/>
      </c:barChart>
      <c:catAx>
        <c:axId val="1407439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458019557"/>
      </c:catAx>
      <c:valAx>
        <c:axId val="1458019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of each age group</a:t>
                </a:r>
              </a:p>
            </c:rich>
          </c:tx>
          <c:layout>
            <c:manualLayout>
              <c:xMode val="edge"/>
              <c:yMode val="edge"/>
              <c:x val="0.03131991051454139"/>
              <c:y val="0.3588429938718226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7439188"/>
      </c:valAx>
    </c:plotArea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Living comfortably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'Economic Sat'!$A$78:$A$84</c:f>
            </c:strRef>
          </c:cat>
          <c:val>
            <c:numRef>
              <c:f>'Economic Sat'!$B$78:$B$84</c:f>
              <c:numCache/>
            </c:numRef>
          </c:val>
        </c:ser>
        <c:ser>
          <c:idx val="1"/>
          <c:order val="1"/>
          <c:tx>
            <c:v>Coping</c:v>
          </c:tx>
          <c:spPr>
            <a:solidFill>
              <a:srgbClr val="92D050"/>
            </a:solidFill>
            <a:ln cmpd="sng">
              <a:noFill/>
            </a:ln>
          </c:spPr>
          <c:cat>
            <c:strRef>
              <c:f>'Economic Sat'!$A$78:$A$84</c:f>
            </c:strRef>
          </c:cat>
          <c:val>
            <c:numRef>
              <c:f>'Economic Sat'!$C$78:$C$84</c:f>
              <c:numCache/>
            </c:numRef>
          </c:val>
        </c:ser>
        <c:ser>
          <c:idx val="2"/>
          <c:order val="2"/>
          <c:tx>
            <c:v>Finding it difficult</c:v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'Economic Sat'!$A$78:$A$84</c:f>
            </c:strRef>
          </c:cat>
          <c:val>
            <c:numRef>
              <c:f>'Economic Sat'!$D$78:$D$84</c:f>
              <c:numCache/>
            </c:numRef>
          </c:val>
        </c:ser>
        <c:ser>
          <c:idx val="3"/>
          <c:order val="3"/>
          <c:tx>
            <c:v>Finding it very difficult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'Economic Sat'!$A$78:$A$84</c:f>
            </c:strRef>
          </c:cat>
          <c:val>
            <c:numRef>
              <c:f>'Economic Sat'!$E$78:$E$84</c:f>
              <c:numCache/>
            </c:numRef>
          </c:val>
        </c:ser>
        <c:overlap val="100"/>
        <c:axId val="1754367238"/>
        <c:axId val="1381515624"/>
      </c:barChart>
      <c:catAx>
        <c:axId val="1754367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381515624"/>
      </c:catAx>
      <c:valAx>
        <c:axId val="138151562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of each income quintile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4367238"/>
        <c:majorUnit val="20.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1909878087669"/>
          <c:y val="0.08953378700476675"/>
          <c:w val="0.7985608336712842"/>
          <c:h val="0.8006819028395455"/>
        </c:manualLayout>
      </c:layout>
      <c:lineChart>
        <c:varyColors val="0"/>
        <c:ser>
          <c:idx val="0"/>
          <c:order val="0"/>
          <c:tx>
            <c:v>Economic Satisfaction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Religion!$B$9:$B$17</c:f>
            </c:strRef>
          </c:cat>
          <c:val>
            <c:numRef>
              <c:f>Religion!$C$9:$C$17</c:f>
              <c:numCache/>
            </c:numRef>
          </c:val>
          <c:smooth val="0"/>
        </c:ser>
        <c:axId val="1159029916"/>
        <c:axId val="1440471731"/>
      </c:lineChart>
      <c:catAx>
        <c:axId val="1159029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440471731"/>
      </c:catAx>
      <c:valAx>
        <c:axId val="144047173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% of the population</a:t>
                </a:r>
              </a:p>
            </c:rich>
          </c:tx>
          <c:layout>
            <c:manualLayout>
              <c:xMode val="edge"/>
              <c:yMode val="edge"/>
              <c:x val="0.021918842817926498"/>
              <c:y val="0.31840855427355447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9029916"/>
        <c:majorUnit val="0.1"/>
      </c:valAx>
    </c:plotArea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343215487325829"/>
          <c:y val="0.06915833486345567"/>
          <c:w val="0.8519593440081736"/>
          <c:h val="0.8008053285998886"/>
        </c:manualLayout>
      </c:layout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Religion!$A$99:$A$105</c:f>
            </c:strRef>
          </c:cat>
          <c:val>
            <c:numRef>
              <c:f>Religion!$B$99:$B$105</c:f>
              <c:numCache/>
            </c:numRef>
          </c:val>
        </c:ser>
        <c:axId val="2048388653"/>
        <c:axId val="1203582649"/>
      </c:barChart>
      <c:catAx>
        <c:axId val="2048388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203582649"/>
      </c:catAx>
      <c:valAx>
        <c:axId val="1203582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of each age group</a:t>
                </a:r>
              </a:p>
            </c:rich>
          </c:tx>
          <c:layout>
            <c:manualLayout>
              <c:xMode val="edge"/>
              <c:yMode val="edge"/>
              <c:x val="0.03131991051454139"/>
              <c:y val="0.3588429938718226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8388653"/>
      </c:valAx>
    </c:plotArea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Living comfortably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Religion!$A$122:$A$128</c:f>
            </c:strRef>
          </c:cat>
          <c:val>
            <c:numRef>
              <c:f>Religion!$B$122:$B$128</c:f>
              <c:numCache/>
            </c:numRef>
          </c:val>
        </c:ser>
        <c:ser>
          <c:idx val="1"/>
          <c:order val="1"/>
          <c:tx>
            <c:v>Coping</c:v>
          </c:tx>
          <c:spPr>
            <a:solidFill>
              <a:srgbClr val="92D050"/>
            </a:solidFill>
            <a:ln cmpd="sng">
              <a:noFill/>
            </a:ln>
          </c:spPr>
          <c:cat>
            <c:strRef>
              <c:f>Religion!$A$122:$A$128</c:f>
            </c:strRef>
          </c:cat>
          <c:val>
            <c:numRef>
              <c:f>Religion!$C$122:$C$128</c:f>
              <c:numCache/>
            </c:numRef>
          </c:val>
        </c:ser>
        <c:ser>
          <c:idx val="2"/>
          <c:order val="2"/>
          <c:tx>
            <c:v>Finding it difficult</c:v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Religion!$A$122:$A$128</c:f>
            </c:strRef>
          </c:cat>
          <c:val>
            <c:numRef>
              <c:f>Religion!$D$122:$D$128</c:f>
              <c:numCache/>
            </c:numRef>
          </c:val>
        </c:ser>
        <c:ser>
          <c:idx val="3"/>
          <c:order val="3"/>
          <c:tx>
            <c:v>Finding it very difficult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Religion!$A$122:$A$128</c:f>
            </c:strRef>
          </c:cat>
          <c:val>
            <c:numRef>
              <c:f>Religion!$E$122:$E$128</c:f>
              <c:numCache/>
            </c:numRef>
          </c:val>
        </c:ser>
        <c:overlap val="100"/>
        <c:axId val="1314050245"/>
        <c:axId val="389642598"/>
      </c:barChart>
      <c:catAx>
        <c:axId val="1314050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89642598"/>
      </c:catAx>
      <c:valAx>
        <c:axId val="38964259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of each income quintile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4050245"/>
        <c:majorUnit val="20.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164338328676657"/>
          <c:y val="0.08194621177557385"/>
          <c:w val="0.8947007027347388"/>
          <c:h val="0.7480546512406329"/>
        </c:manualLayout>
      </c:layout>
      <c:barChart>
        <c:barDir val="col"/>
        <c:grouping val="percentStacked"/>
        <c:ser>
          <c:idx val="0"/>
          <c:order val="0"/>
          <c:tx>
            <c:v>Not at all true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Precarity!$B$24:$D$24</c:f>
            </c:strRef>
          </c:cat>
          <c:val>
            <c:numRef>
              <c:f>Precarity!$B$25:$D$25</c:f>
              <c:numCache/>
            </c:numRef>
          </c:val>
        </c:ser>
        <c:ser>
          <c:idx val="1"/>
          <c:order val="1"/>
          <c:tx>
            <c:v>A little true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Precarity!$B$24:$D$24</c:f>
            </c:strRef>
          </c:cat>
          <c:val>
            <c:numRef>
              <c:f>Precarity!$B$26:$D$26</c:f>
              <c:numCache/>
            </c:numRef>
          </c:val>
        </c:ser>
        <c:ser>
          <c:idx val="2"/>
          <c:order val="2"/>
          <c:tx>
            <c:v>Quite true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Precarity!$B$24:$D$24</c:f>
            </c:strRef>
          </c:cat>
          <c:val>
            <c:numRef>
              <c:f>Precarity!$B$27:$D$27</c:f>
              <c:numCache/>
            </c:numRef>
          </c:val>
        </c:ser>
        <c:ser>
          <c:idx val="3"/>
          <c:order val="3"/>
          <c:tx>
            <c:v>Very true</c:v>
          </c:tx>
          <c:spPr>
            <a:solidFill>
              <a:srgbClr val="92D050"/>
            </a:solidFill>
            <a:ln cmpd="sng">
              <a:noFill/>
            </a:ln>
          </c:spPr>
          <c:cat>
            <c:strRef>
              <c:f>Precarity!$B$24:$D$24</c:f>
            </c:strRef>
          </c:cat>
          <c:val>
            <c:numRef>
              <c:f>Precarity!$B$28:$D$28</c:f>
              <c:numCache/>
            </c:numRef>
          </c:val>
        </c:ser>
        <c:overlap val="100"/>
        <c:axId val="7087660"/>
        <c:axId val="2112159029"/>
      </c:barChart>
      <c:catAx>
        <c:axId val="708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2112159029"/>
      </c:catAx>
      <c:valAx>
        <c:axId val="2112159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8766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<Relationship Id="rId7" Type="http://schemas.openxmlformats.org/officeDocument/2006/relationships/chart" Target="../charts/chart31.xml"/><Relationship Id="rId8" Type="http://schemas.openxmlformats.org/officeDocument/2006/relationships/chart" Target="../charts/chart3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Relationship Id="rId4" Type="http://schemas.openxmlformats.org/officeDocument/2006/relationships/chart" Target="../charts/chart41.xml"/><Relationship Id="rId9" Type="http://schemas.openxmlformats.org/officeDocument/2006/relationships/chart" Target="../charts/chart46.xml"/><Relationship Id="rId5" Type="http://schemas.openxmlformats.org/officeDocument/2006/relationships/chart" Target="../charts/chart42.xml"/><Relationship Id="rId6" Type="http://schemas.openxmlformats.org/officeDocument/2006/relationships/chart" Target="../charts/chart43.xml"/><Relationship Id="rId7" Type="http://schemas.openxmlformats.org/officeDocument/2006/relationships/chart" Target="../charts/chart44.xml"/><Relationship Id="rId8" Type="http://schemas.openxmlformats.org/officeDocument/2006/relationships/chart" Target="../charts/chart4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Relationship Id="rId3" Type="http://schemas.openxmlformats.org/officeDocument/2006/relationships/chart" Target="../charts/chart49.xml"/><Relationship Id="rId4" Type="http://schemas.openxmlformats.org/officeDocument/2006/relationships/chart" Target="../charts/chart50.xml"/><Relationship Id="rId5" Type="http://schemas.openxmlformats.org/officeDocument/2006/relationships/chart" Target="../charts/chart51.xml"/><Relationship Id="rId6" Type="http://schemas.openxmlformats.org/officeDocument/2006/relationships/chart" Target="../charts/chart52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Relationship Id="rId4" Type="http://schemas.openxmlformats.org/officeDocument/2006/relationships/chart" Target="../charts/chart56.xml"/><Relationship Id="rId10" Type="http://schemas.openxmlformats.org/officeDocument/2006/relationships/chart" Target="../charts/chart62.xml"/><Relationship Id="rId9" Type="http://schemas.openxmlformats.org/officeDocument/2006/relationships/chart" Target="../charts/chart61.xml"/><Relationship Id="rId5" Type="http://schemas.openxmlformats.org/officeDocument/2006/relationships/chart" Target="../charts/chart57.xml"/><Relationship Id="rId6" Type="http://schemas.openxmlformats.org/officeDocument/2006/relationships/chart" Target="../charts/chart58.xml"/><Relationship Id="rId7" Type="http://schemas.openxmlformats.org/officeDocument/2006/relationships/chart" Target="../charts/chart59.xml"/><Relationship Id="rId8" Type="http://schemas.openxmlformats.org/officeDocument/2006/relationships/chart" Target="../charts/chart6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<Relationship Id="rId3" Type="http://schemas.openxmlformats.org/officeDocument/2006/relationships/chart" Target="../charts/chart6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6.xml"/><Relationship Id="rId2" Type="http://schemas.openxmlformats.org/officeDocument/2006/relationships/chart" Target="../charts/chart67.xml"/><Relationship Id="rId3" Type="http://schemas.openxmlformats.org/officeDocument/2006/relationships/chart" Target="../charts/chart68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828675</xdr:rowOff>
    </xdr:from>
    <xdr:ext cx="5486400" cy="3190875"/>
    <xdr:graphicFrame>
      <xdr:nvGraphicFramePr>
        <xdr:cNvPr id="5859629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9525</xdr:rowOff>
    </xdr:from>
    <xdr:ext cx="5495925" cy="3438525"/>
    <xdr:graphicFrame>
      <xdr:nvGraphicFramePr>
        <xdr:cNvPr id="30479659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13</xdr:row>
      <xdr:rowOff>19050</xdr:rowOff>
    </xdr:from>
    <xdr:ext cx="4371975" cy="3324225"/>
    <xdr:graphicFrame>
      <xdr:nvGraphicFramePr>
        <xdr:cNvPr id="210516790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600075</xdr:colOff>
      <xdr:row>12</xdr:row>
      <xdr:rowOff>19050</xdr:rowOff>
    </xdr:from>
    <xdr:ext cx="5619750" cy="3467100"/>
    <xdr:graphicFrame>
      <xdr:nvGraphicFramePr>
        <xdr:cNvPr id="54634941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0</xdr:colOff>
      <xdr:row>49</xdr:row>
      <xdr:rowOff>38100</xdr:rowOff>
    </xdr:from>
    <xdr:ext cx="5724525" cy="3781425"/>
    <xdr:graphicFrame>
      <xdr:nvGraphicFramePr>
        <xdr:cNvPr id="200748606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0</xdr:colOff>
      <xdr:row>71</xdr:row>
      <xdr:rowOff>47625</xdr:rowOff>
    </xdr:from>
    <xdr:ext cx="5676900" cy="3171825"/>
    <xdr:graphicFrame>
      <xdr:nvGraphicFramePr>
        <xdr:cNvPr id="180393844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8</xdr:row>
      <xdr:rowOff>0</xdr:rowOff>
    </xdr:from>
    <xdr:ext cx="6886575" cy="3381375"/>
    <xdr:graphicFrame>
      <xdr:nvGraphicFramePr>
        <xdr:cNvPr id="64846083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752475</xdr:colOff>
      <xdr:row>130</xdr:row>
      <xdr:rowOff>85725</xdr:rowOff>
    </xdr:from>
    <xdr:ext cx="6076950" cy="3629025"/>
    <xdr:graphicFrame>
      <xdr:nvGraphicFramePr>
        <xdr:cNvPr id="43003759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752475</xdr:colOff>
      <xdr:row>194</xdr:row>
      <xdr:rowOff>0</xdr:rowOff>
    </xdr:from>
    <xdr:ext cx="5372100" cy="2914650"/>
    <xdr:graphicFrame>
      <xdr:nvGraphicFramePr>
        <xdr:cNvPr id="125232369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1400175</xdr:colOff>
      <xdr:row>302</xdr:row>
      <xdr:rowOff>104775</xdr:rowOff>
    </xdr:from>
    <xdr:ext cx="5915025" cy="3257550"/>
    <xdr:graphicFrame>
      <xdr:nvGraphicFramePr>
        <xdr:cNvPr id="178223919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19050</xdr:colOff>
      <xdr:row>445</xdr:row>
      <xdr:rowOff>76200</xdr:rowOff>
    </xdr:from>
    <xdr:ext cx="7258050" cy="3743325"/>
    <xdr:graphicFrame>
      <xdr:nvGraphicFramePr>
        <xdr:cNvPr id="38868352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10</xdr:row>
      <xdr:rowOff>180975</xdr:rowOff>
    </xdr:from>
    <xdr:ext cx="4819650" cy="3028950"/>
    <xdr:graphicFrame>
      <xdr:nvGraphicFramePr>
        <xdr:cNvPr id="17014955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57150</xdr:colOff>
      <xdr:row>35</xdr:row>
      <xdr:rowOff>114300</xdr:rowOff>
    </xdr:from>
    <xdr:ext cx="6000750" cy="3228975"/>
    <xdr:graphicFrame>
      <xdr:nvGraphicFramePr>
        <xdr:cNvPr id="746283321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0</xdr:colOff>
      <xdr:row>191</xdr:row>
      <xdr:rowOff>171450</xdr:rowOff>
    </xdr:from>
    <xdr:ext cx="6238875" cy="3571875"/>
    <xdr:graphicFrame>
      <xdr:nvGraphicFramePr>
        <xdr:cNvPr id="2139616170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237</xdr:row>
      <xdr:rowOff>19050</xdr:rowOff>
    </xdr:from>
    <xdr:ext cx="5467350" cy="3448050"/>
    <xdr:graphicFrame>
      <xdr:nvGraphicFramePr>
        <xdr:cNvPr id="1187926291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600075</xdr:colOff>
      <xdr:row>17</xdr:row>
      <xdr:rowOff>9525</xdr:rowOff>
    </xdr:from>
    <xdr:ext cx="5638800" cy="3133725"/>
    <xdr:graphicFrame>
      <xdr:nvGraphicFramePr>
        <xdr:cNvPr id="722929255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16</xdr:row>
      <xdr:rowOff>19050</xdr:rowOff>
    </xdr:from>
    <xdr:ext cx="5905500" cy="3048000"/>
    <xdr:graphicFrame>
      <xdr:nvGraphicFramePr>
        <xdr:cNvPr id="1935137912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600075</xdr:colOff>
      <xdr:row>91</xdr:row>
      <xdr:rowOff>180975</xdr:rowOff>
    </xdr:from>
    <xdr:ext cx="5781675" cy="3352800"/>
    <xdr:graphicFrame>
      <xdr:nvGraphicFramePr>
        <xdr:cNvPr id="1408766534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</xdr:colOff>
      <xdr:row>147</xdr:row>
      <xdr:rowOff>9525</xdr:rowOff>
    </xdr:from>
    <xdr:ext cx="6457950" cy="3438525"/>
    <xdr:graphicFrame>
      <xdr:nvGraphicFramePr>
        <xdr:cNvPr id="139660616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600075</xdr:colOff>
      <xdr:row>9</xdr:row>
      <xdr:rowOff>85725</xdr:rowOff>
    </xdr:from>
    <xdr:ext cx="6134100" cy="3409950"/>
    <xdr:graphicFrame>
      <xdr:nvGraphicFramePr>
        <xdr:cNvPr id="25655240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109</xdr:row>
      <xdr:rowOff>171450</xdr:rowOff>
    </xdr:from>
    <xdr:ext cx="5600700" cy="3476625"/>
    <xdr:graphicFrame>
      <xdr:nvGraphicFramePr>
        <xdr:cNvPr id="1983371285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581025</xdr:colOff>
      <xdr:row>149</xdr:row>
      <xdr:rowOff>0</xdr:rowOff>
    </xdr:from>
    <xdr:ext cx="5667375" cy="3086100"/>
    <xdr:graphicFrame>
      <xdr:nvGraphicFramePr>
        <xdr:cNvPr id="1522416938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466725</xdr:rowOff>
    </xdr:from>
    <xdr:ext cx="6591300" cy="3352800"/>
    <xdr:graphicFrame>
      <xdr:nvGraphicFramePr>
        <xdr:cNvPr id="1917689532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4</xdr:row>
      <xdr:rowOff>161925</xdr:rowOff>
    </xdr:from>
    <xdr:ext cx="4981575" cy="990600"/>
    <xdr:graphicFrame>
      <xdr:nvGraphicFramePr>
        <xdr:cNvPr id="99018704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7</xdr:row>
      <xdr:rowOff>9525</xdr:rowOff>
    </xdr:from>
    <xdr:ext cx="4133850" cy="3028950"/>
    <xdr:graphicFrame>
      <xdr:nvGraphicFramePr>
        <xdr:cNvPr id="1759642471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35</xdr:row>
      <xdr:rowOff>133350</xdr:rowOff>
    </xdr:from>
    <xdr:ext cx="4133850" cy="3028950"/>
    <xdr:graphicFrame>
      <xdr:nvGraphicFramePr>
        <xdr:cNvPr id="181854334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57150</xdr:colOff>
      <xdr:row>59</xdr:row>
      <xdr:rowOff>466725</xdr:rowOff>
    </xdr:from>
    <xdr:ext cx="4133850" cy="3028950"/>
    <xdr:graphicFrame>
      <xdr:nvGraphicFramePr>
        <xdr:cNvPr id="1557472942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83</xdr:row>
      <xdr:rowOff>457200</xdr:rowOff>
    </xdr:from>
    <xdr:ext cx="4133850" cy="3009900"/>
    <xdr:graphicFrame>
      <xdr:nvGraphicFramePr>
        <xdr:cNvPr id="181903225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28575</xdr:colOff>
      <xdr:row>113</xdr:row>
      <xdr:rowOff>114300</xdr:rowOff>
    </xdr:from>
    <xdr:ext cx="4810125" cy="2695575"/>
    <xdr:graphicFrame>
      <xdr:nvGraphicFramePr>
        <xdr:cNvPr id="472100511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95250</xdr:colOff>
      <xdr:row>148</xdr:row>
      <xdr:rowOff>85725</xdr:rowOff>
    </xdr:from>
    <xdr:ext cx="4514850" cy="3028950"/>
    <xdr:graphicFrame>
      <xdr:nvGraphicFramePr>
        <xdr:cNvPr id="335621362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28575</xdr:colOff>
      <xdr:row>180</xdr:row>
      <xdr:rowOff>161925</xdr:rowOff>
    </xdr:from>
    <xdr:ext cx="4467225" cy="3048000"/>
    <xdr:graphicFrame>
      <xdr:nvGraphicFramePr>
        <xdr:cNvPr id="1006437807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628650</xdr:colOff>
      <xdr:row>216</xdr:row>
      <xdr:rowOff>66675</xdr:rowOff>
    </xdr:from>
    <xdr:ext cx="4838700" cy="3028950"/>
    <xdr:graphicFrame>
      <xdr:nvGraphicFramePr>
        <xdr:cNvPr id="905658795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19050</xdr:colOff>
      <xdr:row>248</xdr:row>
      <xdr:rowOff>409575</xdr:rowOff>
    </xdr:from>
    <xdr:ext cx="4133850" cy="3009900"/>
    <xdr:graphicFrame>
      <xdr:nvGraphicFramePr>
        <xdr:cNvPr id="843651936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2</xdr:row>
      <xdr:rowOff>57150</xdr:rowOff>
    </xdr:from>
    <xdr:ext cx="4371975" cy="3028950"/>
    <xdr:graphicFrame>
      <xdr:nvGraphicFramePr>
        <xdr:cNvPr id="792363499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171450</xdr:colOff>
      <xdr:row>156</xdr:row>
      <xdr:rowOff>171450</xdr:rowOff>
    </xdr:from>
    <xdr:ext cx="4219575" cy="3048000"/>
    <xdr:graphicFrame>
      <xdr:nvGraphicFramePr>
        <xdr:cNvPr id="1442879529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28575</xdr:colOff>
      <xdr:row>187</xdr:row>
      <xdr:rowOff>66675</xdr:rowOff>
    </xdr:from>
    <xdr:ext cx="5410200" cy="3190875"/>
    <xdr:graphicFrame>
      <xdr:nvGraphicFramePr>
        <xdr:cNvPr id="1978665982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514350</xdr:colOff>
      <xdr:row>255</xdr:row>
      <xdr:rowOff>28575</xdr:rowOff>
    </xdr:from>
    <xdr:ext cx="5610225" cy="4514850"/>
    <xdr:graphicFrame>
      <xdr:nvGraphicFramePr>
        <xdr:cNvPr id="578445374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19050</xdr:rowOff>
    </xdr:from>
    <xdr:ext cx="4953000" cy="2933700"/>
    <xdr:graphicFrame>
      <xdr:nvGraphicFramePr>
        <xdr:cNvPr id="1088741273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28575</xdr:colOff>
      <xdr:row>23</xdr:row>
      <xdr:rowOff>57150</xdr:rowOff>
    </xdr:from>
    <xdr:ext cx="5029200" cy="3009900"/>
    <xdr:graphicFrame>
      <xdr:nvGraphicFramePr>
        <xdr:cNvPr id="1751780353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42</xdr:row>
      <xdr:rowOff>19050</xdr:rowOff>
    </xdr:from>
    <xdr:ext cx="5181600" cy="2990850"/>
    <xdr:graphicFrame>
      <xdr:nvGraphicFramePr>
        <xdr:cNvPr id="191998420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61</xdr:row>
      <xdr:rowOff>76200</xdr:rowOff>
    </xdr:from>
    <xdr:ext cx="5181600" cy="3190875"/>
    <xdr:graphicFrame>
      <xdr:nvGraphicFramePr>
        <xdr:cNvPr id="2031767688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9525</xdr:colOff>
      <xdr:row>81</xdr:row>
      <xdr:rowOff>19050</xdr:rowOff>
    </xdr:from>
    <xdr:ext cx="5200650" cy="2905125"/>
    <xdr:graphicFrame>
      <xdr:nvGraphicFramePr>
        <xdr:cNvPr id="1676763486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0</xdr:colOff>
      <xdr:row>101</xdr:row>
      <xdr:rowOff>28575</xdr:rowOff>
    </xdr:from>
    <xdr:ext cx="5210175" cy="3000375"/>
    <xdr:graphicFrame>
      <xdr:nvGraphicFramePr>
        <xdr:cNvPr id="102793310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0</xdr:colOff>
      <xdr:row>122</xdr:row>
      <xdr:rowOff>152400</xdr:rowOff>
    </xdr:from>
    <xdr:ext cx="5229225" cy="2800350"/>
    <xdr:graphicFrame>
      <xdr:nvGraphicFramePr>
        <xdr:cNvPr id="94508016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19050</xdr:colOff>
      <xdr:row>141</xdr:row>
      <xdr:rowOff>9525</xdr:rowOff>
    </xdr:from>
    <xdr:ext cx="5200650" cy="3105150"/>
    <xdr:graphicFrame>
      <xdr:nvGraphicFramePr>
        <xdr:cNvPr id="1169364252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17</xdr:col>
      <xdr:colOff>600075</xdr:colOff>
      <xdr:row>17</xdr:row>
      <xdr:rowOff>0</xdr:rowOff>
    </xdr:from>
    <xdr:ext cx="7705725" cy="2743200"/>
    <xdr:graphicFrame>
      <xdr:nvGraphicFramePr>
        <xdr:cNvPr id="66320787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3</xdr:row>
      <xdr:rowOff>76200</xdr:rowOff>
    </xdr:from>
    <xdr:ext cx="7896225" cy="3400425"/>
    <xdr:graphicFrame>
      <xdr:nvGraphicFramePr>
        <xdr:cNvPr id="1474921193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9525</xdr:colOff>
      <xdr:row>23</xdr:row>
      <xdr:rowOff>38100</xdr:rowOff>
    </xdr:from>
    <xdr:ext cx="7620000" cy="4438650"/>
    <xdr:graphicFrame>
      <xdr:nvGraphicFramePr>
        <xdr:cNvPr id="545866143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28575</xdr:colOff>
      <xdr:row>87</xdr:row>
      <xdr:rowOff>0</xdr:rowOff>
    </xdr:from>
    <xdr:ext cx="6448425" cy="3143250"/>
    <xdr:graphicFrame>
      <xdr:nvGraphicFramePr>
        <xdr:cNvPr id="2105519056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266700</xdr:colOff>
      <xdr:row>105</xdr:row>
      <xdr:rowOff>38100</xdr:rowOff>
    </xdr:from>
    <xdr:ext cx="7820025" cy="4000500"/>
    <xdr:graphicFrame>
      <xdr:nvGraphicFramePr>
        <xdr:cNvPr id="51615222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19050</xdr:colOff>
      <xdr:row>171</xdr:row>
      <xdr:rowOff>28575</xdr:rowOff>
    </xdr:from>
    <xdr:ext cx="7286625" cy="3181350"/>
    <xdr:graphicFrame>
      <xdr:nvGraphicFramePr>
        <xdr:cNvPr id="68997193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257175</xdr:colOff>
      <xdr:row>191</xdr:row>
      <xdr:rowOff>123825</xdr:rowOff>
    </xdr:from>
    <xdr:ext cx="8972550" cy="3924300"/>
    <xdr:graphicFrame>
      <xdr:nvGraphicFramePr>
        <xdr:cNvPr id="804178925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4</xdr:row>
      <xdr:rowOff>0</xdr:rowOff>
    </xdr:from>
    <xdr:ext cx="6076950" cy="3457575"/>
    <xdr:graphicFrame>
      <xdr:nvGraphicFramePr>
        <xdr:cNvPr id="2080708880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352425</xdr:colOff>
      <xdr:row>24</xdr:row>
      <xdr:rowOff>171450</xdr:rowOff>
    </xdr:from>
    <xdr:ext cx="7439025" cy="3800475"/>
    <xdr:graphicFrame>
      <xdr:nvGraphicFramePr>
        <xdr:cNvPr id="1547849348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600075</xdr:colOff>
      <xdr:row>89</xdr:row>
      <xdr:rowOff>76200</xdr:rowOff>
    </xdr:from>
    <xdr:ext cx="6153150" cy="3086100"/>
    <xdr:graphicFrame>
      <xdr:nvGraphicFramePr>
        <xdr:cNvPr id="29363770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590550</xdr:colOff>
      <xdr:row>110</xdr:row>
      <xdr:rowOff>171450</xdr:rowOff>
    </xdr:from>
    <xdr:ext cx="7886700" cy="3857625"/>
    <xdr:graphicFrame>
      <xdr:nvGraphicFramePr>
        <xdr:cNvPr id="1576700249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381000</xdr:colOff>
      <xdr:row>179</xdr:row>
      <xdr:rowOff>9525</xdr:rowOff>
    </xdr:from>
    <xdr:ext cx="6962775" cy="3267075"/>
    <xdr:graphicFrame>
      <xdr:nvGraphicFramePr>
        <xdr:cNvPr id="699505533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600075</xdr:colOff>
      <xdr:row>201</xdr:row>
      <xdr:rowOff>9525</xdr:rowOff>
    </xdr:from>
    <xdr:ext cx="7915275" cy="4000500"/>
    <xdr:graphicFrame>
      <xdr:nvGraphicFramePr>
        <xdr:cNvPr id="29078508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9525</xdr:colOff>
      <xdr:row>267</xdr:row>
      <xdr:rowOff>28575</xdr:rowOff>
    </xdr:from>
    <xdr:ext cx="6858000" cy="3133725"/>
    <xdr:graphicFrame>
      <xdr:nvGraphicFramePr>
        <xdr:cNvPr id="336283215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9525</xdr:colOff>
      <xdr:row>290</xdr:row>
      <xdr:rowOff>9525</xdr:rowOff>
    </xdr:from>
    <xdr:ext cx="7572375" cy="3752850"/>
    <xdr:graphicFrame>
      <xdr:nvGraphicFramePr>
        <xdr:cNvPr id="1827636364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590550</xdr:colOff>
      <xdr:row>354</xdr:row>
      <xdr:rowOff>0</xdr:rowOff>
    </xdr:from>
    <xdr:ext cx="7038975" cy="3067050"/>
    <xdr:graphicFrame>
      <xdr:nvGraphicFramePr>
        <xdr:cNvPr id="1659270337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600075</xdr:colOff>
      <xdr:row>376</xdr:row>
      <xdr:rowOff>161925</xdr:rowOff>
    </xdr:from>
    <xdr:ext cx="8572500" cy="3971925"/>
    <xdr:graphicFrame>
      <xdr:nvGraphicFramePr>
        <xdr:cNvPr id="1255729807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7</xdr:row>
      <xdr:rowOff>352425</xdr:rowOff>
    </xdr:from>
    <xdr:ext cx="5353050" cy="3200400"/>
    <xdr:graphicFrame>
      <xdr:nvGraphicFramePr>
        <xdr:cNvPr id="2048896433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50</xdr:row>
      <xdr:rowOff>180975</xdr:rowOff>
    </xdr:from>
    <xdr:ext cx="5505450" cy="3514725"/>
    <xdr:graphicFrame>
      <xdr:nvGraphicFramePr>
        <xdr:cNvPr id="730956536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79</xdr:row>
      <xdr:rowOff>19050</xdr:rowOff>
    </xdr:from>
    <xdr:ext cx="5648325" cy="3790950"/>
    <xdr:graphicFrame>
      <xdr:nvGraphicFramePr>
        <xdr:cNvPr id="81427091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7</xdr:row>
      <xdr:rowOff>352425</xdr:rowOff>
    </xdr:from>
    <xdr:ext cx="5353050" cy="3200400"/>
    <xdr:graphicFrame>
      <xdr:nvGraphicFramePr>
        <xdr:cNvPr id="734363081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94</xdr:row>
      <xdr:rowOff>180975</xdr:rowOff>
    </xdr:from>
    <xdr:ext cx="5505450" cy="3514725"/>
    <xdr:graphicFrame>
      <xdr:nvGraphicFramePr>
        <xdr:cNvPr id="1292852716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123</xdr:row>
      <xdr:rowOff>19050</xdr:rowOff>
    </xdr:from>
    <xdr:ext cx="5648325" cy="3790950"/>
    <xdr:graphicFrame>
      <xdr:nvGraphicFramePr>
        <xdr:cNvPr id="735908490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22</xdr:row>
      <xdr:rowOff>142875</xdr:rowOff>
    </xdr:from>
    <xdr:ext cx="5676900" cy="3914775"/>
    <xdr:graphicFrame>
      <xdr:nvGraphicFramePr>
        <xdr:cNvPr id="1738960203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71"/>
    <col customWidth="1" min="3" max="3" width="34.57"/>
    <col customWidth="1" min="4" max="4" width="14.71"/>
    <col customWidth="1" min="5" max="5" width="17.71"/>
    <col customWidth="1" min="6" max="6" width="10.43"/>
    <col customWidth="1" min="7" max="26" width="8.71"/>
  </cols>
  <sheetData>
    <row r="1">
      <c r="A1" s="1" t="s">
        <v>0</v>
      </c>
      <c r="B1" s="1"/>
      <c r="C1" s="2">
        <v>45618.0</v>
      </c>
      <c r="D1" s="3"/>
      <c r="E1" s="3"/>
      <c r="F1" s="3"/>
    </row>
    <row r="2">
      <c r="A2" s="4" t="s">
        <v>1</v>
      </c>
      <c r="B2" s="5"/>
      <c r="C2" s="6"/>
    </row>
    <row r="3" ht="66.0" customHeight="1">
      <c r="G3" s="7" t="s">
        <v>2</v>
      </c>
    </row>
    <row r="4">
      <c r="A4" s="8" t="s">
        <v>3</v>
      </c>
      <c r="B4" s="8" t="s">
        <v>4</v>
      </c>
      <c r="C4" s="6" t="s">
        <v>5</v>
      </c>
      <c r="D4" s="9"/>
    </row>
    <row r="5">
      <c r="A5" s="10">
        <v>1.0</v>
      </c>
      <c r="B5" s="11">
        <v>2002.0</v>
      </c>
      <c r="C5" s="12">
        <v>5.455961</v>
      </c>
    </row>
    <row r="6">
      <c r="A6" s="11">
        <v>2.0</v>
      </c>
      <c r="B6" s="11">
        <v>2004.0</v>
      </c>
      <c r="C6" s="12">
        <v>5.81286</v>
      </c>
    </row>
    <row r="7">
      <c r="A7" s="10">
        <v>3.0</v>
      </c>
      <c r="B7" s="11">
        <v>2006.0</v>
      </c>
      <c r="C7" s="12">
        <v>5.354652</v>
      </c>
    </row>
    <row r="8">
      <c r="A8" s="10">
        <v>4.0</v>
      </c>
      <c r="B8" s="11">
        <v>2008.0</v>
      </c>
      <c r="C8" s="12">
        <v>5.460806</v>
      </c>
    </row>
    <row r="9">
      <c r="A9" s="10">
        <v>5.0</v>
      </c>
      <c r="B9" s="11">
        <v>2010.0</v>
      </c>
      <c r="C9" s="12">
        <v>5.281354</v>
      </c>
    </row>
    <row r="10">
      <c r="A10" s="10">
        <v>6.0</v>
      </c>
      <c r="B10" s="11">
        <v>2012.0</v>
      </c>
      <c r="C10" s="12">
        <v>5.189454</v>
      </c>
    </row>
    <row r="11">
      <c r="A11" s="10">
        <v>7.0</v>
      </c>
      <c r="B11" s="11">
        <v>2014.0</v>
      </c>
      <c r="C11" s="12">
        <v>5.246526</v>
      </c>
    </row>
    <row r="12">
      <c r="A12" s="10">
        <v>8.0</v>
      </c>
      <c r="B12" s="11">
        <v>2016.0</v>
      </c>
      <c r="C12" s="12">
        <v>5.5787</v>
      </c>
    </row>
    <row r="13">
      <c r="A13" s="10">
        <v>9.0</v>
      </c>
      <c r="B13" s="11">
        <v>2018.0</v>
      </c>
      <c r="C13" s="12">
        <v>5.495317</v>
      </c>
    </row>
    <row r="14">
      <c r="A14" s="10">
        <v>10.0</v>
      </c>
      <c r="B14" s="13" t="s">
        <v>6</v>
      </c>
      <c r="C14" s="12">
        <v>5.590898</v>
      </c>
    </row>
    <row r="15">
      <c r="A15" s="10">
        <v>11.0</v>
      </c>
      <c r="B15" s="11">
        <v>2023.0</v>
      </c>
      <c r="C15" s="12">
        <v>5.439057</v>
      </c>
    </row>
    <row r="20">
      <c r="A20" s="14" t="s">
        <v>7</v>
      </c>
      <c r="B20" s="15"/>
      <c r="C20" s="15"/>
      <c r="D20" s="16"/>
    </row>
    <row r="21" ht="60.75" customHeight="1">
      <c r="A21" s="17"/>
      <c r="B21" s="6" t="s">
        <v>8</v>
      </c>
      <c r="C21" s="6" t="s">
        <v>9</v>
      </c>
      <c r="D21" s="6" t="s">
        <v>10</v>
      </c>
      <c r="E21" s="6" t="s">
        <v>11</v>
      </c>
      <c r="F21" s="6" t="s">
        <v>12</v>
      </c>
      <c r="G21" s="18" t="s">
        <v>13</v>
      </c>
    </row>
    <row r="22" ht="15.75" customHeight="1">
      <c r="A22" s="19" t="s">
        <v>14</v>
      </c>
      <c r="B22" s="20">
        <v>36.0</v>
      </c>
      <c r="C22" s="20">
        <v>34.0</v>
      </c>
      <c r="D22" s="20">
        <v>37.0</v>
      </c>
      <c r="E22" s="20">
        <v>26.0</v>
      </c>
      <c r="F22" s="20">
        <v>19.0</v>
      </c>
    </row>
    <row r="23" ht="15.75" customHeight="1">
      <c r="A23" s="19" t="s">
        <v>15</v>
      </c>
      <c r="B23" s="20">
        <v>16.0</v>
      </c>
      <c r="C23" s="20">
        <v>17.0</v>
      </c>
      <c r="D23" s="20">
        <v>19.0</v>
      </c>
      <c r="E23" s="20">
        <v>19.0</v>
      </c>
      <c r="F23" s="20">
        <v>15.0</v>
      </c>
    </row>
    <row r="24" ht="15.75" customHeight="1">
      <c r="A24" s="19" t="s">
        <v>16</v>
      </c>
      <c r="B24" s="20">
        <v>48.0</v>
      </c>
      <c r="C24" s="20">
        <v>49.0</v>
      </c>
      <c r="D24" s="20">
        <v>44.0</v>
      </c>
      <c r="E24" s="20">
        <v>55.0</v>
      </c>
      <c r="F24" s="20">
        <v>66.0</v>
      </c>
    </row>
    <row r="25" ht="15.75" customHeight="1">
      <c r="E25" s="21"/>
      <c r="F25" s="21"/>
    </row>
    <row r="26" ht="15.75" customHeight="1"/>
    <row r="27" ht="15.75" customHeight="1">
      <c r="A27" s="6"/>
    </row>
    <row r="28" ht="15.75" customHeight="1">
      <c r="A28" s="17"/>
      <c r="B28" s="6"/>
      <c r="C28" s="6"/>
      <c r="D28" s="6"/>
      <c r="E28" s="6"/>
      <c r="F28" s="6"/>
    </row>
    <row r="29" ht="15.75" customHeight="1">
      <c r="A29" s="19"/>
      <c r="B29" s="20"/>
      <c r="C29" s="20"/>
      <c r="D29" s="20"/>
      <c r="E29" s="20"/>
      <c r="F29" s="20"/>
    </row>
    <row r="30" ht="15.75" customHeight="1">
      <c r="A30" s="19"/>
      <c r="B30" s="20"/>
      <c r="C30" s="20"/>
      <c r="D30" s="20"/>
      <c r="E30" s="20"/>
      <c r="F30" s="20"/>
    </row>
    <row r="31" ht="15.75" customHeight="1">
      <c r="A31" s="19"/>
      <c r="B31" s="20"/>
      <c r="C31" s="20"/>
      <c r="D31" s="20"/>
      <c r="E31" s="20"/>
      <c r="F31" s="2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:I2"/>
    <mergeCell ref="G3:P3"/>
    <mergeCell ref="A20:D20"/>
    <mergeCell ref="G21:P21"/>
    <mergeCell ref="A27:D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3.43"/>
    <col customWidth="1" hidden="1" min="2" max="2" width="15.86"/>
    <col customWidth="1" hidden="1" min="3" max="5" width="8.71"/>
    <col customWidth="1" hidden="1" min="6" max="6" width="15.29"/>
    <col customWidth="1" hidden="1" min="7" max="14" width="8.71"/>
    <col customWidth="1" hidden="1" min="15" max="16" width="11.71"/>
    <col customWidth="1" min="17" max="17" width="19.29"/>
    <col customWidth="1" min="18" max="18" width="12.0"/>
    <col customWidth="1" min="19" max="19" width="8.71"/>
    <col customWidth="1" min="20" max="20" width="10.71"/>
    <col customWidth="1" min="21" max="21" width="13.86"/>
    <col customWidth="1" min="22" max="22" width="15.57"/>
    <col customWidth="1" min="23" max="34" width="8.71"/>
  </cols>
  <sheetData>
    <row r="1">
      <c r="A1" s="1" t="s">
        <v>0</v>
      </c>
      <c r="B1" s="2">
        <v>45135.0</v>
      </c>
      <c r="Q1" s="1" t="s">
        <v>0</v>
      </c>
      <c r="R1" s="2">
        <v>45618.0</v>
      </c>
    </row>
    <row r="2">
      <c r="A2" s="5" t="s">
        <v>17</v>
      </c>
      <c r="B2" s="14" t="s">
        <v>18</v>
      </c>
      <c r="C2" s="15"/>
      <c r="D2" s="15"/>
      <c r="E2" s="16"/>
      <c r="F2" s="6"/>
      <c r="G2" s="6"/>
      <c r="Q2" s="5" t="s">
        <v>17</v>
      </c>
      <c r="R2" s="6"/>
      <c r="S2" s="6"/>
      <c r="T2" s="6"/>
      <c r="U2" s="6"/>
    </row>
    <row r="3">
      <c r="A3" s="5"/>
      <c r="B3" s="5"/>
      <c r="Q3" s="14" t="s">
        <v>7</v>
      </c>
      <c r="R3" s="15"/>
      <c r="S3" s="15"/>
      <c r="T3" s="16"/>
    </row>
    <row r="4">
      <c r="A4" s="22" t="s">
        <v>19</v>
      </c>
      <c r="B4" s="5"/>
      <c r="F4" s="8"/>
      <c r="G4" s="8" t="s">
        <v>20</v>
      </c>
      <c r="H4" s="8" t="s">
        <v>21</v>
      </c>
      <c r="Q4" s="22" t="s">
        <v>19</v>
      </c>
      <c r="V4" s="8"/>
      <c r="W4" s="8" t="s">
        <v>20</v>
      </c>
      <c r="X4" s="8" t="s">
        <v>21</v>
      </c>
    </row>
    <row r="5">
      <c r="A5" s="11" t="s">
        <v>22</v>
      </c>
      <c r="B5" s="11" t="s">
        <v>23</v>
      </c>
      <c r="C5" s="11" t="s">
        <v>24</v>
      </c>
      <c r="D5" s="11" t="s">
        <v>25</v>
      </c>
      <c r="F5" s="8" t="s">
        <v>26</v>
      </c>
      <c r="G5" s="21">
        <f>C7</f>
        <v>20.19</v>
      </c>
      <c r="H5" s="21">
        <f>C9</f>
        <v>65.7</v>
      </c>
      <c r="Q5" s="11" t="s">
        <v>22</v>
      </c>
      <c r="R5" s="11" t="s">
        <v>23</v>
      </c>
      <c r="S5" s="11" t="s">
        <v>24</v>
      </c>
      <c r="T5" s="11" t="s">
        <v>25</v>
      </c>
      <c r="V5" s="8" t="s">
        <v>26</v>
      </c>
      <c r="W5" s="21">
        <f>S7</f>
        <v>18.71</v>
      </c>
      <c r="X5" s="21">
        <f>S9</f>
        <v>68.97</v>
      </c>
    </row>
    <row r="6">
      <c r="F6" s="8" t="s">
        <v>27</v>
      </c>
      <c r="G6" s="21">
        <f>C16</f>
        <v>31.91</v>
      </c>
      <c r="H6" s="21">
        <f>C18</f>
        <v>52</v>
      </c>
      <c r="V6" s="8" t="s">
        <v>27</v>
      </c>
      <c r="W6" s="21">
        <f>S16</f>
        <v>25.14</v>
      </c>
      <c r="X6" s="21">
        <f>S18</f>
        <v>58.35</v>
      </c>
    </row>
    <row r="7">
      <c r="A7" s="11" t="s">
        <v>20</v>
      </c>
      <c r="B7" s="11">
        <v>444.491157</v>
      </c>
      <c r="C7" s="11">
        <v>20.19</v>
      </c>
      <c r="D7" s="11">
        <v>20.19</v>
      </c>
      <c r="F7" s="8" t="s">
        <v>28</v>
      </c>
      <c r="G7" s="21">
        <f>C25</f>
        <v>40.44</v>
      </c>
      <c r="H7" s="21">
        <f>C27</f>
        <v>40.72</v>
      </c>
      <c r="O7" s="8"/>
      <c r="P7" s="8"/>
      <c r="Q7" s="11" t="s">
        <v>14</v>
      </c>
      <c r="R7" s="11">
        <v>373.954791</v>
      </c>
      <c r="S7" s="11">
        <v>18.71</v>
      </c>
      <c r="T7" s="11">
        <v>18.71</v>
      </c>
      <c r="V7" s="8" t="s">
        <v>28</v>
      </c>
      <c r="W7" s="21">
        <f>S25</f>
        <v>34.5</v>
      </c>
      <c r="X7" s="21">
        <f>S27</f>
        <v>45.44</v>
      </c>
    </row>
    <row r="8">
      <c r="A8" s="11" t="s">
        <v>15</v>
      </c>
      <c r="B8" s="11">
        <v>310.694015</v>
      </c>
      <c r="C8" s="11">
        <v>14.11</v>
      </c>
      <c r="D8" s="11">
        <v>34.3</v>
      </c>
      <c r="F8" s="8" t="s">
        <v>29</v>
      </c>
      <c r="G8" s="21">
        <f>C34</f>
        <v>55.45</v>
      </c>
      <c r="H8" s="21">
        <f>C36</f>
        <v>25.82</v>
      </c>
      <c r="Q8" s="11" t="s">
        <v>15</v>
      </c>
      <c r="R8" s="11">
        <v>246.42488</v>
      </c>
      <c r="S8" s="11">
        <v>12.33</v>
      </c>
      <c r="T8" s="11">
        <v>31.03</v>
      </c>
      <c r="V8" s="8" t="s">
        <v>29</v>
      </c>
      <c r="W8" s="21">
        <f>S34</f>
        <v>49.08</v>
      </c>
      <c r="X8" s="21">
        <f>S36</f>
        <v>30.43</v>
      </c>
    </row>
    <row r="9">
      <c r="A9" s="11" t="s">
        <v>21</v>
      </c>
      <c r="B9" s="23">
        <v>1446.8148</v>
      </c>
      <c r="C9" s="11">
        <v>65.7</v>
      </c>
      <c r="D9" s="11">
        <v>100.0</v>
      </c>
      <c r="F9" s="8" t="s">
        <v>30</v>
      </c>
      <c r="G9" s="21">
        <f>C43</f>
        <v>54.24</v>
      </c>
      <c r="H9" s="21">
        <f>C45</f>
        <v>27.67</v>
      </c>
      <c r="Q9" s="11" t="s">
        <v>31</v>
      </c>
      <c r="R9" s="23">
        <v>1378.62033</v>
      </c>
      <c r="S9" s="11">
        <v>68.97</v>
      </c>
      <c r="T9" s="11">
        <v>100.0</v>
      </c>
      <c r="V9" s="8" t="s">
        <v>30</v>
      </c>
      <c r="W9" s="21">
        <f>S43</f>
        <v>48.18</v>
      </c>
      <c r="X9" s="21">
        <f>S45</f>
        <v>32.69</v>
      </c>
    </row>
    <row r="11">
      <c r="A11" s="11" t="s">
        <v>32</v>
      </c>
      <c r="B11" s="10">
        <v>2202.0</v>
      </c>
      <c r="C11" s="11">
        <v>100.0</v>
      </c>
      <c r="Q11" s="11" t="s">
        <v>32</v>
      </c>
      <c r="R11" s="10">
        <v>1999.0</v>
      </c>
      <c r="S11" s="11">
        <v>100.0</v>
      </c>
    </row>
    <row r="12">
      <c r="F12" s="24" t="s">
        <v>33</v>
      </c>
      <c r="Y12" s="25" t="s">
        <v>34</v>
      </c>
    </row>
    <row r="13">
      <c r="A13" s="22" t="s">
        <v>35</v>
      </c>
      <c r="Q13" s="22" t="s">
        <v>35</v>
      </c>
    </row>
    <row r="14">
      <c r="A14" s="11" t="s">
        <v>36</v>
      </c>
      <c r="B14" s="11" t="s">
        <v>23</v>
      </c>
      <c r="C14" s="11" t="s">
        <v>24</v>
      </c>
      <c r="D14" s="11" t="s">
        <v>25</v>
      </c>
      <c r="Q14" s="11" t="s">
        <v>36</v>
      </c>
      <c r="R14" s="11" t="s">
        <v>23</v>
      </c>
      <c r="S14" s="11" t="s">
        <v>24</v>
      </c>
      <c r="T14" s="11" t="s">
        <v>25</v>
      </c>
    </row>
    <row r="16">
      <c r="A16" s="11" t="s">
        <v>20</v>
      </c>
      <c r="B16" s="11">
        <v>688.864865</v>
      </c>
      <c r="C16" s="11">
        <v>31.91</v>
      </c>
      <c r="D16" s="11">
        <v>31.91</v>
      </c>
      <c r="Q16" s="11" t="s">
        <v>14</v>
      </c>
      <c r="R16" s="11">
        <v>493.530681</v>
      </c>
      <c r="S16" s="11">
        <v>25.14</v>
      </c>
      <c r="T16" s="11">
        <v>25.14</v>
      </c>
    </row>
    <row r="17">
      <c r="A17" s="11" t="s">
        <v>15</v>
      </c>
      <c r="B17" s="11">
        <v>347.551429</v>
      </c>
      <c r="C17" s="11">
        <v>16.1</v>
      </c>
      <c r="D17" s="11">
        <v>48.0</v>
      </c>
      <c r="Q17" s="11" t="s">
        <v>15</v>
      </c>
      <c r="R17" s="11">
        <v>324.153976</v>
      </c>
      <c r="S17" s="11">
        <v>16.51</v>
      </c>
      <c r="T17" s="11">
        <v>41.65</v>
      </c>
    </row>
    <row r="18">
      <c r="A18" s="11" t="s">
        <v>21</v>
      </c>
      <c r="B18" s="23">
        <v>1122.5837</v>
      </c>
      <c r="C18" s="11">
        <v>52.0</v>
      </c>
      <c r="D18" s="11">
        <v>100.0</v>
      </c>
      <c r="Q18" s="11" t="s">
        <v>31</v>
      </c>
      <c r="R18" s="23">
        <v>1145.31534</v>
      </c>
      <c r="S18" s="11">
        <v>58.35</v>
      </c>
      <c r="T18" s="11">
        <v>100.0</v>
      </c>
    </row>
    <row r="20">
      <c r="A20" s="11" t="s">
        <v>32</v>
      </c>
      <c r="B20" s="10">
        <v>2159.0</v>
      </c>
      <c r="C20" s="11">
        <v>100.0</v>
      </c>
      <c r="Q20" s="11" t="s">
        <v>32</v>
      </c>
      <c r="R20" s="10">
        <v>1963.0</v>
      </c>
      <c r="S20" s="11">
        <v>100.0</v>
      </c>
    </row>
    <row r="21" ht="15.75" customHeight="1"/>
    <row r="22" ht="15.75" customHeight="1">
      <c r="A22" s="22" t="s">
        <v>37</v>
      </c>
      <c r="Q22" s="22" t="s">
        <v>28</v>
      </c>
    </row>
    <row r="23" ht="15.75" customHeight="1">
      <c r="A23" s="11" t="s">
        <v>38</v>
      </c>
      <c r="B23" s="11" t="s">
        <v>23</v>
      </c>
      <c r="C23" s="11" t="s">
        <v>24</v>
      </c>
      <c r="D23" s="11" t="s">
        <v>25</v>
      </c>
      <c r="Q23" s="11" t="s">
        <v>38</v>
      </c>
      <c r="R23" s="11" t="s">
        <v>23</v>
      </c>
      <c r="S23" s="11" t="s">
        <v>24</v>
      </c>
      <c r="T23" s="11" t="s">
        <v>25</v>
      </c>
    </row>
    <row r="24" ht="15.75" customHeight="1"/>
    <row r="25" ht="15.75" customHeight="1">
      <c r="A25" s="11" t="s">
        <v>20</v>
      </c>
      <c r="B25" s="11">
        <v>860.165097</v>
      </c>
      <c r="C25" s="11">
        <v>40.44</v>
      </c>
      <c r="D25" s="11">
        <v>40.44</v>
      </c>
      <c r="Q25" s="11" t="s">
        <v>14</v>
      </c>
      <c r="R25" s="11">
        <v>667.647168</v>
      </c>
      <c r="S25" s="11">
        <v>34.5</v>
      </c>
      <c r="T25" s="11">
        <v>34.5</v>
      </c>
    </row>
    <row r="26" ht="15.75" customHeight="1">
      <c r="A26" s="11" t="s">
        <v>15</v>
      </c>
      <c r="B26" s="11">
        <v>400.623516</v>
      </c>
      <c r="C26" s="11">
        <v>18.84</v>
      </c>
      <c r="D26" s="11">
        <v>59.28</v>
      </c>
      <c r="Q26" s="11" t="s">
        <v>15</v>
      </c>
      <c r="R26" s="11">
        <v>388.1190411</v>
      </c>
      <c r="S26" s="11">
        <v>20.06</v>
      </c>
      <c r="T26" s="11">
        <v>54.56</v>
      </c>
    </row>
    <row r="27" ht="15.75" customHeight="1">
      <c r="A27" s="11" t="s">
        <v>21</v>
      </c>
      <c r="B27" s="11">
        <v>866.211386</v>
      </c>
      <c r="C27" s="11">
        <v>40.72</v>
      </c>
      <c r="D27" s="11">
        <v>100.0</v>
      </c>
      <c r="Q27" s="11" t="s">
        <v>31</v>
      </c>
      <c r="R27" s="11">
        <v>879.233791</v>
      </c>
      <c r="S27" s="11">
        <v>45.44</v>
      </c>
      <c r="T27" s="11">
        <v>100.0</v>
      </c>
    </row>
    <row r="28" ht="15.75" customHeight="1"/>
    <row r="29" ht="15.75" customHeight="1">
      <c r="A29" s="11" t="s">
        <v>32</v>
      </c>
      <c r="B29" s="10">
        <v>2127.0</v>
      </c>
      <c r="C29" s="11">
        <v>100.0</v>
      </c>
      <c r="Q29" s="11" t="s">
        <v>32</v>
      </c>
      <c r="R29" s="10">
        <v>1935.0</v>
      </c>
      <c r="S29" s="11">
        <v>100.0</v>
      </c>
    </row>
    <row r="30" ht="15.75" customHeight="1"/>
    <row r="31" ht="15.75" customHeight="1">
      <c r="A31" s="22" t="s">
        <v>29</v>
      </c>
      <c r="B31" s="22"/>
      <c r="Q31" s="22" t="s">
        <v>29</v>
      </c>
    </row>
    <row r="32" ht="15.75" customHeight="1">
      <c r="A32" s="11" t="s">
        <v>39</v>
      </c>
      <c r="B32" s="11" t="s">
        <v>23</v>
      </c>
      <c r="C32" s="11" t="s">
        <v>24</v>
      </c>
      <c r="D32" s="11" t="s">
        <v>25</v>
      </c>
      <c r="Q32" s="11" t="s">
        <v>39</v>
      </c>
      <c r="R32" s="11" t="s">
        <v>23</v>
      </c>
      <c r="S32" s="11" t="s">
        <v>24</v>
      </c>
      <c r="T32" s="11" t="s">
        <v>25</v>
      </c>
    </row>
    <row r="33" ht="15.75" customHeight="1"/>
    <row r="34" ht="15.75" customHeight="1">
      <c r="A34" s="11" t="s">
        <v>20</v>
      </c>
      <c r="B34" s="23">
        <v>1193.9134</v>
      </c>
      <c r="C34" s="11">
        <v>55.45</v>
      </c>
      <c r="D34" s="11">
        <v>55.45</v>
      </c>
      <c r="Q34" s="11" t="s">
        <v>14</v>
      </c>
      <c r="R34" s="11">
        <v>960.022608</v>
      </c>
      <c r="S34" s="11">
        <v>49.08</v>
      </c>
      <c r="T34" s="11">
        <v>49.08</v>
      </c>
    </row>
    <row r="35" ht="15.75" customHeight="1">
      <c r="A35" s="11" t="s">
        <v>15</v>
      </c>
      <c r="B35" s="11">
        <v>403.206394</v>
      </c>
      <c r="C35" s="11">
        <v>18.73</v>
      </c>
      <c r="D35" s="11">
        <v>74.18</v>
      </c>
      <c r="Q35" s="11" t="s">
        <v>15</v>
      </c>
      <c r="R35" s="11">
        <v>400.800971</v>
      </c>
      <c r="S35" s="11">
        <v>20.49</v>
      </c>
      <c r="T35" s="11">
        <v>69.57</v>
      </c>
    </row>
    <row r="36" ht="15.75" customHeight="1">
      <c r="A36" s="11" t="s">
        <v>21</v>
      </c>
      <c r="B36" s="11">
        <v>555.880231</v>
      </c>
      <c r="C36" s="11">
        <v>25.82</v>
      </c>
      <c r="D36" s="11">
        <v>100.0</v>
      </c>
      <c r="Q36" s="11" t="s">
        <v>31</v>
      </c>
      <c r="R36" s="11">
        <v>595.17642</v>
      </c>
      <c r="S36" s="11">
        <v>30.43</v>
      </c>
      <c r="T36" s="11">
        <v>100.0</v>
      </c>
    </row>
    <row r="37" ht="15.75" customHeight="1"/>
    <row r="38" ht="15.75" customHeight="1">
      <c r="A38" s="11" t="s">
        <v>32</v>
      </c>
      <c r="B38" s="10">
        <v>2153.0</v>
      </c>
      <c r="C38" s="11">
        <v>100.0</v>
      </c>
      <c r="Q38" s="11" t="s">
        <v>32</v>
      </c>
      <c r="R38" s="10">
        <v>1956.0</v>
      </c>
      <c r="S38" s="11">
        <v>100.0</v>
      </c>
    </row>
    <row r="39" ht="15.75" customHeight="1"/>
    <row r="40" ht="15.75" customHeight="1">
      <c r="A40" s="22" t="s">
        <v>30</v>
      </c>
      <c r="Q40" s="22" t="s">
        <v>30</v>
      </c>
    </row>
    <row r="41" ht="15.75" customHeight="1">
      <c r="A41" s="11" t="s">
        <v>40</v>
      </c>
      <c r="B41" s="11" t="s">
        <v>23</v>
      </c>
      <c r="C41" s="11" t="s">
        <v>24</v>
      </c>
      <c r="D41" s="11" t="s">
        <v>25</v>
      </c>
      <c r="Q41" s="11" t="s">
        <v>40</v>
      </c>
      <c r="R41" s="11" t="s">
        <v>23</v>
      </c>
      <c r="S41" s="11" t="s">
        <v>24</v>
      </c>
      <c r="T41" s="11" t="s">
        <v>25</v>
      </c>
    </row>
    <row r="42" ht="15.75" customHeight="1"/>
    <row r="43" ht="15.75" customHeight="1">
      <c r="A43" s="11" t="s">
        <v>20</v>
      </c>
      <c r="B43" s="23">
        <v>1174.3736</v>
      </c>
      <c r="C43" s="11">
        <v>54.24</v>
      </c>
      <c r="D43" s="11">
        <v>54.24</v>
      </c>
      <c r="Q43" s="11" t="s">
        <v>14</v>
      </c>
      <c r="R43" s="11">
        <v>947.727541</v>
      </c>
      <c r="S43" s="11">
        <v>48.18</v>
      </c>
      <c r="T43" s="11">
        <v>48.18</v>
      </c>
    </row>
    <row r="44" ht="15.75" customHeight="1">
      <c r="A44" s="11" t="s">
        <v>15</v>
      </c>
      <c r="B44" s="11">
        <v>391.514539</v>
      </c>
      <c r="C44" s="11">
        <v>18.08</v>
      </c>
      <c r="D44" s="11">
        <v>72.33</v>
      </c>
      <c r="Q44" s="11" t="s">
        <v>15</v>
      </c>
      <c r="R44" s="11">
        <v>376.329588</v>
      </c>
      <c r="S44" s="11">
        <v>19.13</v>
      </c>
      <c r="T44" s="11">
        <v>67.31</v>
      </c>
    </row>
    <row r="45" ht="15.75" customHeight="1">
      <c r="A45" s="11" t="s">
        <v>21</v>
      </c>
      <c r="B45" s="11">
        <v>599.111826</v>
      </c>
      <c r="C45" s="11">
        <v>27.67</v>
      </c>
      <c r="D45" s="11">
        <v>100.0</v>
      </c>
      <c r="Q45" s="11" t="s">
        <v>31</v>
      </c>
      <c r="R45" s="11">
        <v>642.942871</v>
      </c>
      <c r="S45" s="11">
        <v>32.69</v>
      </c>
      <c r="T45" s="11">
        <v>100.0</v>
      </c>
    </row>
    <row r="46" ht="15.75" customHeight="1"/>
    <row r="47" ht="15.75" customHeight="1">
      <c r="A47" s="11" t="s">
        <v>32</v>
      </c>
      <c r="B47" s="10">
        <v>2165.0</v>
      </c>
      <c r="C47" s="11">
        <v>100.0</v>
      </c>
      <c r="Q47" s="11" t="s">
        <v>32</v>
      </c>
      <c r="R47" s="10">
        <v>1967.0</v>
      </c>
      <c r="S47" s="11">
        <v>100.0</v>
      </c>
    </row>
    <row r="48" ht="15.75" customHeight="1"/>
    <row r="49" ht="15.75" customHeight="1">
      <c r="Y49" s="25" t="s">
        <v>41</v>
      </c>
    </row>
    <row r="50" ht="15.75" customHeight="1">
      <c r="F50" s="24"/>
      <c r="Q50" s="8" t="s">
        <v>3</v>
      </c>
      <c r="S50" s="26" t="s">
        <v>19</v>
      </c>
      <c r="T50" s="8" t="s">
        <v>27</v>
      </c>
      <c r="U50" s="8" t="s">
        <v>37</v>
      </c>
      <c r="V50" s="8" t="s">
        <v>30</v>
      </c>
      <c r="W50" s="8" t="s">
        <v>29</v>
      </c>
    </row>
    <row r="51" ht="15.75" customHeight="1">
      <c r="Q51" s="10">
        <v>1.0</v>
      </c>
      <c r="R51" s="8">
        <v>2002.0</v>
      </c>
      <c r="S51" s="27">
        <v>6.443745</v>
      </c>
      <c r="T51" s="27">
        <v>5.155437</v>
      </c>
      <c r="U51" s="27">
        <v>4.421486</v>
      </c>
      <c r="V51" s="27">
        <v>3.708685</v>
      </c>
      <c r="W51" s="27"/>
    </row>
    <row r="52" ht="15.75" customHeight="1">
      <c r="Q52" s="11">
        <v>2.0</v>
      </c>
      <c r="R52" s="8">
        <v>2004.0</v>
      </c>
      <c r="S52" s="27">
        <v>6.477708</v>
      </c>
      <c r="T52" s="27">
        <v>5.214784</v>
      </c>
      <c r="U52" s="27">
        <v>4.677741</v>
      </c>
      <c r="V52" s="27">
        <v>3.859122</v>
      </c>
      <c r="W52" s="27">
        <v>3.929182</v>
      </c>
    </row>
    <row r="53" ht="15.75" customHeight="1">
      <c r="Q53" s="10">
        <v>3.0</v>
      </c>
      <c r="R53" s="8">
        <v>2006.0</v>
      </c>
      <c r="S53" s="27">
        <v>6.133365</v>
      </c>
      <c r="T53" s="27">
        <v>5.065344</v>
      </c>
      <c r="U53" s="27">
        <v>4.831112</v>
      </c>
      <c r="V53" s="27">
        <v>3.820177</v>
      </c>
      <c r="W53" s="27">
        <v>3.877148</v>
      </c>
    </row>
    <row r="54" ht="15.75" customHeight="1">
      <c r="Q54" s="10">
        <v>4.0</v>
      </c>
      <c r="R54" s="8">
        <v>2008.0</v>
      </c>
      <c r="S54" s="27">
        <v>6.493649</v>
      </c>
      <c r="T54" s="27">
        <v>5.054306</v>
      </c>
      <c r="U54" s="27">
        <v>3.86497</v>
      </c>
      <c r="V54" s="27">
        <v>3.201242</v>
      </c>
      <c r="W54" s="27">
        <v>3.318737</v>
      </c>
    </row>
    <row r="55" ht="15.75" customHeight="1">
      <c r="Q55" s="10">
        <v>5.0</v>
      </c>
      <c r="R55" s="8">
        <v>2010.0</v>
      </c>
      <c r="S55" s="27">
        <v>6.512715</v>
      </c>
      <c r="T55" s="27">
        <v>5.131712</v>
      </c>
      <c r="U55" s="27">
        <v>3.70772</v>
      </c>
      <c r="V55" s="27">
        <v>3.108765</v>
      </c>
      <c r="W55" s="27">
        <v>3.068547</v>
      </c>
    </row>
    <row r="56" ht="15.75" customHeight="1">
      <c r="Q56" s="10">
        <v>6.0</v>
      </c>
      <c r="R56" s="8">
        <v>2012.0</v>
      </c>
      <c r="S56" s="27">
        <v>6.62613</v>
      </c>
      <c r="T56" s="27">
        <v>5.216075</v>
      </c>
      <c r="U56" s="27">
        <v>3.585523</v>
      </c>
      <c r="V56" s="27">
        <v>3.093214</v>
      </c>
      <c r="W56" s="27">
        <v>2.970899</v>
      </c>
    </row>
    <row r="57" ht="15.75" customHeight="1">
      <c r="Q57" s="10">
        <v>7.0</v>
      </c>
      <c r="R57" s="8">
        <v>2014.0</v>
      </c>
      <c r="S57" s="27">
        <v>6.274952</v>
      </c>
      <c r="T57" s="27">
        <v>5.311488</v>
      </c>
      <c r="U57" s="27">
        <v>3.826108</v>
      </c>
      <c r="V57" s="27">
        <v>3.337701</v>
      </c>
      <c r="W57" s="27">
        <v>3.284776</v>
      </c>
    </row>
    <row r="58" ht="15.75" customHeight="1">
      <c r="Q58" s="10">
        <v>8.0</v>
      </c>
      <c r="R58" s="8">
        <v>2016.0</v>
      </c>
      <c r="S58" s="27">
        <v>6.178031</v>
      </c>
      <c r="T58" s="27">
        <v>5.513717</v>
      </c>
      <c r="U58" s="27">
        <v>4.522308</v>
      </c>
      <c r="V58" s="27">
        <v>3.753916</v>
      </c>
      <c r="W58" s="27">
        <v>3.7512</v>
      </c>
    </row>
    <row r="59" ht="15.75" customHeight="1">
      <c r="Q59" s="10">
        <v>9.0</v>
      </c>
      <c r="R59" s="8">
        <v>2018.0</v>
      </c>
      <c r="S59" s="27">
        <v>6.242991</v>
      </c>
      <c r="T59" s="27">
        <v>5.351339</v>
      </c>
      <c r="U59" s="27">
        <v>4.732071</v>
      </c>
      <c r="V59" s="27">
        <v>3.972573</v>
      </c>
      <c r="W59" s="27">
        <v>3.896907</v>
      </c>
    </row>
    <row r="60" ht="15.75" customHeight="1">
      <c r="Q60" s="10">
        <v>10.0</v>
      </c>
      <c r="R60" s="28" t="s">
        <v>42</v>
      </c>
      <c r="S60" s="27">
        <v>6.558728</v>
      </c>
      <c r="T60" s="27">
        <v>5.74362</v>
      </c>
      <c r="U60" s="27">
        <v>4.948284</v>
      </c>
      <c r="V60" s="27">
        <v>4.217301</v>
      </c>
      <c r="W60" s="27">
        <v>4.064938</v>
      </c>
    </row>
    <row r="61" ht="15.75" customHeight="1">
      <c r="Q61" s="10">
        <v>11.0</v>
      </c>
      <c r="R61" s="8">
        <v>2023.0</v>
      </c>
      <c r="S61" s="27">
        <v>6.3</v>
      </c>
      <c r="T61" s="27">
        <v>5.7</v>
      </c>
      <c r="U61" s="27">
        <v>5.0</v>
      </c>
      <c r="V61" s="27">
        <v>4.2</v>
      </c>
      <c r="W61" s="27">
        <v>4.2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Q71" s="14" t="s">
        <v>7</v>
      </c>
      <c r="R71" s="15"/>
      <c r="S71" s="15"/>
      <c r="T71" s="16"/>
      <c r="Y71" s="25" t="s">
        <v>43</v>
      </c>
    </row>
    <row r="72" ht="15.75" customHeight="1">
      <c r="R72" s="8" t="s">
        <v>26</v>
      </c>
      <c r="S72" s="8" t="s">
        <v>27</v>
      </c>
      <c r="T72" s="8" t="s">
        <v>37</v>
      </c>
      <c r="U72" s="8" t="s">
        <v>29</v>
      </c>
      <c r="V72" s="8" t="s">
        <v>30</v>
      </c>
    </row>
    <row r="73" ht="15.75" customHeight="1">
      <c r="Q73" s="19" t="s">
        <v>8</v>
      </c>
      <c r="R73" s="21">
        <v>67.69</v>
      </c>
      <c r="S73" s="21">
        <v>42.11</v>
      </c>
      <c r="T73" s="21">
        <v>38.22</v>
      </c>
      <c r="U73" s="21">
        <v>23.96</v>
      </c>
      <c r="V73" s="21">
        <v>25.91</v>
      </c>
    </row>
    <row r="74" ht="15.75" customHeight="1">
      <c r="Q74" s="19" t="s">
        <v>9</v>
      </c>
      <c r="R74" s="21">
        <v>64.53</v>
      </c>
      <c r="S74" s="21">
        <v>50.27</v>
      </c>
      <c r="T74" s="21">
        <v>37.57</v>
      </c>
      <c r="U74" s="21">
        <v>27.6</v>
      </c>
      <c r="V74" s="21">
        <v>30.16</v>
      </c>
    </row>
    <row r="75" ht="15.75" customHeight="1">
      <c r="Q75" s="19" t="s">
        <v>10</v>
      </c>
      <c r="R75" s="21">
        <v>70.02</v>
      </c>
      <c r="S75" s="21">
        <v>56.82</v>
      </c>
      <c r="T75" s="21">
        <v>41.84</v>
      </c>
      <c r="U75" s="21">
        <v>31.06</v>
      </c>
      <c r="V75" s="21">
        <v>30.65</v>
      </c>
    </row>
    <row r="76" ht="15.75" customHeight="1">
      <c r="Q76" s="19" t="s">
        <v>11</v>
      </c>
      <c r="R76" s="21">
        <v>73.67</v>
      </c>
      <c r="S76" s="21">
        <v>56.37</v>
      </c>
      <c r="T76" s="21">
        <v>41.05</v>
      </c>
      <c r="U76" s="21">
        <v>28.37</v>
      </c>
      <c r="V76" s="21">
        <v>33.1</v>
      </c>
    </row>
    <row r="77" ht="15.75" customHeight="1">
      <c r="Q77" s="19" t="s">
        <v>12</v>
      </c>
      <c r="R77" s="21">
        <v>77.03</v>
      </c>
      <c r="S77" s="21">
        <v>68.59</v>
      </c>
      <c r="T77" s="21">
        <v>59.07</v>
      </c>
      <c r="U77" s="21">
        <v>35.79</v>
      </c>
      <c r="V77" s="21">
        <v>40.31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Q3:T3"/>
    <mergeCell ref="Q71:T7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8.43"/>
    <col customWidth="1" min="3" max="4" width="8.71"/>
    <col customWidth="1" min="5" max="5" width="11.43"/>
    <col customWidth="1" min="6" max="6" width="21.14"/>
    <col customWidth="1" min="7" max="8" width="8.71"/>
    <col customWidth="1" min="9" max="9" width="13.0"/>
    <col customWidth="1" min="10" max="15" width="8.71"/>
    <col customWidth="1" min="16" max="16" width="9.57"/>
    <col customWidth="1" min="17" max="17" width="8.43"/>
    <col customWidth="1" min="18" max="26" width="8.71"/>
  </cols>
  <sheetData>
    <row r="1">
      <c r="A1" s="1" t="s">
        <v>0</v>
      </c>
      <c r="B1" s="2">
        <v>45618.0</v>
      </c>
    </row>
    <row r="2">
      <c r="A2" s="5" t="s">
        <v>44</v>
      </c>
      <c r="B2" s="6"/>
      <c r="F2" s="8" t="s">
        <v>3</v>
      </c>
      <c r="G2" s="29">
        <v>1.0</v>
      </c>
      <c r="H2" s="8">
        <v>2.0</v>
      </c>
      <c r="I2" s="29">
        <v>3.0</v>
      </c>
      <c r="J2" s="29">
        <v>4.0</v>
      </c>
      <c r="K2" s="29">
        <v>5.0</v>
      </c>
      <c r="L2" s="29">
        <v>6.0</v>
      </c>
      <c r="M2" s="29">
        <v>7.0</v>
      </c>
      <c r="N2" s="29">
        <v>8.0</v>
      </c>
      <c r="O2" s="29">
        <v>9.0</v>
      </c>
      <c r="P2" s="29">
        <v>10.0</v>
      </c>
      <c r="Q2" s="29">
        <v>11.0</v>
      </c>
    </row>
    <row r="3">
      <c r="A3" s="5"/>
      <c r="B3" s="6"/>
      <c r="G3" s="11">
        <v>2002.0</v>
      </c>
      <c r="H3" s="11">
        <v>2004.0</v>
      </c>
      <c r="I3" s="11">
        <v>2006.0</v>
      </c>
      <c r="J3" s="11">
        <v>2008.0</v>
      </c>
      <c r="K3" s="11">
        <v>2010.0</v>
      </c>
      <c r="L3" s="11">
        <v>2012.0</v>
      </c>
      <c r="M3" s="11">
        <v>2014.0</v>
      </c>
      <c r="N3" s="11">
        <v>2016.0</v>
      </c>
      <c r="O3" s="11">
        <v>2018.0</v>
      </c>
      <c r="P3" s="11" t="s">
        <v>42</v>
      </c>
      <c r="Q3" s="11">
        <v>2023.0</v>
      </c>
    </row>
    <row r="4">
      <c r="A4" s="30" t="s">
        <v>45</v>
      </c>
      <c r="F4" s="8" t="s">
        <v>46</v>
      </c>
      <c r="G4" s="21">
        <v>44.18</v>
      </c>
      <c r="H4" s="21">
        <v>46.39</v>
      </c>
      <c r="I4" s="21">
        <v>37.8</v>
      </c>
      <c r="J4" s="21">
        <v>45.52</v>
      </c>
      <c r="K4" s="21">
        <v>44.87</v>
      </c>
      <c r="L4" s="21">
        <v>43.29</v>
      </c>
      <c r="M4" s="21">
        <v>42.13</v>
      </c>
      <c r="N4" s="21">
        <v>41.61</v>
      </c>
      <c r="O4" s="21">
        <v>41.94</v>
      </c>
      <c r="P4" s="21">
        <v>45.1</v>
      </c>
      <c r="Q4" s="21">
        <f>C114</f>
        <v>37.37</v>
      </c>
    </row>
    <row r="5">
      <c r="A5" s="11" t="s">
        <v>47</v>
      </c>
      <c r="B5" s="11" t="s">
        <v>23</v>
      </c>
      <c r="C5" s="11" t="s">
        <v>24</v>
      </c>
      <c r="D5" s="11" t="s">
        <v>25</v>
      </c>
      <c r="F5" s="8" t="s">
        <v>48</v>
      </c>
      <c r="G5" s="21">
        <v>14.47</v>
      </c>
      <c r="H5" s="21">
        <v>12.86</v>
      </c>
      <c r="I5" s="21">
        <v>16.9</v>
      </c>
      <c r="J5" s="21">
        <v>15.16</v>
      </c>
      <c r="K5" s="21">
        <v>15.91</v>
      </c>
      <c r="L5" s="21">
        <v>15.39</v>
      </c>
      <c r="M5" s="21">
        <v>15.18</v>
      </c>
      <c r="N5" s="21">
        <v>17.58</v>
      </c>
      <c r="O5" s="21">
        <v>18.35</v>
      </c>
      <c r="P5" s="21">
        <v>16.12</v>
      </c>
      <c r="Q5" s="21">
        <f>C116</f>
        <v>18.67</v>
      </c>
    </row>
    <row r="7">
      <c r="A7" s="11" t="s">
        <v>46</v>
      </c>
      <c r="B7" s="11">
        <v>903.398166</v>
      </c>
      <c r="C7" s="11">
        <v>44.18</v>
      </c>
      <c r="D7" s="11">
        <v>44.18</v>
      </c>
      <c r="F7" s="25" t="s">
        <v>49</v>
      </c>
    </row>
    <row r="8">
      <c r="A8" s="11" t="s">
        <v>50</v>
      </c>
      <c r="B8" s="11">
        <v>845.730193</v>
      </c>
      <c r="C8" s="11">
        <v>41.36</v>
      </c>
      <c r="D8" s="11">
        <v>85.53</v>
      </c>
    </row>
    <row r="9">
      <c r="A9" s="11" t="s">
        <v>48</v>
      </c>
      <c r="B9" s="11">
        <v>295.871641</v>
      </c>
      <c r="C9" s="11">
        <v>14.47</v>
      </c>
      <c r="D9" s="11">
        <v>100.0</v>
      </c>
    </row>
    <row r="11">
      <c r="A11" s="11" t="s">
        <v>32</v>
      </c>
      <c r="B11" s="10">
        <v>2045.0</v>
      </c>
      <c r="C11" s="11">
        <v>100.0</v>
      </c>
    </row>
    <row r="14">
      <c r="A14" s="30" t="s">
        <v>51</v>
      </c>
    </row>
    <row r="16">
      <c r="A16" s="11" t="s">
        <v>47</v>
      </c>
      <c r="B16" s="11" t="s">
        <v>23</v>
      </c>
      <c r="C16" s="11" t="s">
        <v>24</v>
      </c>
      <c r="D16" s="11" t="s">
        <v>25</v>
      </c>
    </row>
    <row r="18">
      <c r="A18" s="11" t="s">
        <v>46</v>
      </c>
      <c r="B18" s="23">
        <v>1059.5583</v>
      </c>
      <c r="C18" s="11">
        <v>46.39</v>
      </c>
      <c r="D18" s="11">
        <v>46.39</v>
      </c>
    </row>
    <row r="19">
      <c r="A19" s="11" t="s">
        <v>50</v>
      </c>
      <c r="B19" s="11">
        <v>930.706409</v>
      </c>
      <c r="C19" s="11">
        <v>40.75</v>
      </c>
      <c r="D19" s="11">
        <v>87.14</v>
      </c>
    </row>
    <row r="20">
      <c r="A20" s="11" t="s">
        <v>48</v>
      </c>
      <c r="B20" s="11">
        <v>293.735308</v>
      </c>
      <c r="C20" s="11">
        <v>12.86</v>
      </c>
      <c r="D20" s="11">
        <v>100.0</v>
      </c>
    </row>
    <row r="21" ht="15.75" customHeight="1"/>
    <row r="22" ht="15.75" customHeight="1">
      <c r="A22" s="11" t="s">
        <v>32</v>
      </c>
      <c r="B22" s="10">
        <v>2284.0</v>
      </c>
      <c r="C22" s="11">
        <v>100.0</v>
      </c>
    </row>
    <row r="23" ht="15.75" customHeight="1"/>
    <row r="24" ht="15.75" customHeight="1"/>
    <row r="25" ht="15.75" customHeight="1">
      <c r="A25" s="30" t="s">
        <v>52</v>
      </c>
    </row>
    <row r="26" ht="15.75" customHeight="1"/>
    <row r="27" ht="15.75" customHeight="1">
      <c r="A27" s="11" t="s">
        <v>47</v>
      </c>
      <c r="B27" s="11" t="s">
        <v>23</v>
      </c>
      <c r="C27" s="11" t="s">
        <v>24</v>
      </c>
      <c r="D27" s="11" t="s">
        <v>25</v>
      </c>
    </row>
    <row r="28" ht="15.75" customHeight="1"/>
    <row r="29" ht="15.75" customHeight="1">
      <c r="A29" s="11" t="s">
        <v>46</v>
      </c>
      <c r="B29" s="11">
        <v>678.513226</v>
      </c>
      <c r="C29" s="11">
        <v>37.8</v>
      </c>
      <c r="D29" s="11">
        <v>37.8</v>
      </c>
    </row>
    <row r="30" ht="15.75" customHeight="1">
      <c r="A30" s="11" t="s">
        <v>50</v>
      </c>
      <c r="B30" s="11">
        <v>813.1130862</v>
      </c>
      <c r="C30" s="11">
        <v>45.3</v>
      </c>
      <c r="D30" s="11">
        <v>83.1</v>
      </c>
    </row>
    <row r="31" ht="15.75" customHeight="1">
      <c r="A31" s="11" t="s">
        <v>48</v>
      </c>
      <c r="B31" s="11">
        <v>303.373688</v>
      </c>
      <c r="C31" s="11">
        <v>16.9</v>
      </c>
      <c r="D31" s="11">
        <v>100.0</v>
      </c>
    </row>
    <row r="32" ht="15.75" customHeight="1"/>
    <row r="33" ht="15.75" customHeight="1">
      <c r="A33" s="11" t="s">
        <v>32</v>
      </c>
      <c r="B33" s="10">
        <v>1795.0</v>
      </c>
      <c r="C33" s="11">
        <v>100.0</v>
      </c>
    </row>
    <row r="34" ht="15.75" customHeight="1"/>
    <row r="35" ht="15.75" customHeight="1"/>
    <row r="36" ht="15.75" customHeight="1">
      <c r="A36" s="30" t="s">
        <v>53</v>
      </c>
    </row>
    <row r="37" ht="15.75" customHeight="1"/>
    <row r="38" ht="15.75" customHeight="1">
      <c r="A38" s="11" t="s">
        <v>47</v>
      </c>
      <c r="B38" s="11" t="s">
        <v>23</v>
      </c>
      <c r="C38" s="11" t="s">
        <v>24</v>
      </c>
      <c r="D38" s="11" t="s">
        <v>25</v>
      </c>
    </row>
    <row r="39" ht="15.75" customHeight="1"/>
    <row r="40" ht="15.75" customHeight="1">
      <c r="A40" s="11" t="s">
        <v>46</v>
      </c>
      <c r="B40" s="11">
        <v>802.983588</v>
      </c>
      <c r="C40" s="11">
        <v>45.52</v>
      </c>
      <c r="D40" s="11">
        <v>45.52</v>
      </c>
    </row>
    <row r="41" ht="15.75" customHeight="1">
      <c r="A41" s="11" t="s">
        <v>50</v>
      </c>
      <c r="B41" s="11">
        <v>693.538477</v>
      </c>
      <c r="C41" s="11">
        <v>39.32</v>
      </c>
      <c r="D41" s="11">
        <v>84.84</v>
      </c>
    </row>
    <row r="42" ht="15.75" customHeight="1">
      <c r="A42" s="11" t="s">
        <v>48</v>
      </c>
      <c r="B42" s="11">
        <v>267.477935</v>
      </c>
      <c r="C42" s="11">
        <v>15.16</v>
      </c>
      <c r="D42" s="11">
        <v>100.0</v>
      </c>
    </row>
    <row r="43" ht="15.75" customHeight="1"/>
    <row r="44" ht="15.75" customHeight="1">
      <c r="A44" s="11" t="s">
        <v>32</v>
      </c>
      <c r="B44" s="10">
        <v>1764.0</v>
      </c>
      <c r="C44" s="11">
        <v>100.0</v>
      </c>
    </row>
    <row r="45" ht="15.75" customHeight="1"/>
    <row r="46" ht="15.75" customHeight="1"/>
    <row r="47" ht="15.75" customHeight="1">
      <c r="A47" s="30" t="s">
        <v>54</v>
      </c>
    </row>
    <row r="48" ht="15.75" customHeight="1"/>
    <row r="49" ht="15.75" customHeight="1">
      <c r="A49" s="11" t="s">
        <v>47</v>
      </c>
      <c r="B49" s="11" t="s">
        <v>23</v>
      </c>
      <c r="C49" s="11" t="s">
        <v>24</v>
      </c>
      <c r="D49" s="11" t="s">
        <v>25</v>
      </c>
    </row>
    <row r="50" ht="15.75" customHeight="1"/>
    <row r="51" ht="15.75" customHeight="1">
      <c r="A51" s="11" t="s">
        <v>46</v>
      </c>
      <c r="B51" s="23">
        <v>1155.5286</v>
      </c>
      <c r="C51" s="11">
        <v>44.87</v>
      </c>
      <c r="D51" s="11">
        <v>44.87</v>
      </c>
    </row>
    <row r="52" ht="15.75" customHeight="1">
      <c r="A52" s="11" t="s">
        <v>50</v>
      </c>
      <c r="B52" s="23">
        <v>1009.6994</v>
      </c>
      <c r="C52" s="11">
        <v>39.21</v>
      </c>
      <c r="D52" s="11">
        <v>84.09</v>
      </c>
    </row>
    <row r="53" ht="15.75" customHeight="1">
      <c r="A53" s="11" t="s">
        <v>48</v>
      </c>
      <c r="B53" s="11">
        <v>409.771998</v>
      </c>
      <c r="C53" s="11">
        <v>15.91</v>
      </c>
      <c r="D53" s="11">
        <v>100.0</v>
      </c>
    </row>
    <row r="54" ht="15.75" customHeight="1"/>
    <row r="55" ht="15.75" customHeight="1">
      <c r="A55" s="11" t="s">
        <v>32</v>
      </c>
      <c r="B55" s="10">
        <v>2575.0</v>
      </c>
      <c r="C55" s="11">
        <v>100.0</v>
      </c>
    </row>
    <row r="56" ht="15.75" customHeight="1"/>
    <row r="57" ht="15.75" customHeight="1"/>
    <row r="58" ht="15.75" customHeight="1">
      <c r="A58" s="30" t="s">
        <v>55</v>
      </c>
    </row>
    <row r="59" ht="15.75" customHeight="1"/>
    <row r="60" ht="15.75" customHeight="1">
      <c r="A60" s="11" t="s">
        <v>47</v>
      </c>
      <c r="B60" s="11" t="s">
        <v>23</v>
      </c>
      <c r="C60" s="11" t="s">
        <v>24</v>
      </c>
      <c r="D60" s="11" t="s">
        <v>25</v>
      </c>
    </row>
    <row r="61" ht="15.75" customHeight="1"/>
    <row r="62" ht="15.75" customHeight="1">
      <c r="A62" s="11" t="s">
        <v>46</v>
      </c>
      <c r="B62" s="23">
        <v>1137.5555</v>
      </c>
      <c r="C62" s="11">
        <v>43.29</v>
      </c>
      <c r="D62" s="11">
        <v>43.29</v>
      </c>
    </row>
    <row r="63" ht="15.75" customHeight="1">
      <c r="A63" s="11" t="s">
        <v>50</v>
      </c>
      <c r="B63" s="23">
        <v>1085.9468</v>
      </c>
      <c r="C63" s="11">
        <v>41.32</v>
      </c>
      <c r="D63" s="11">
        <v>84.61</v>
      </c>
    </row>
    <row r="64" ht="15.75" customHeight="1">
      <c r="A64" s="11" t="s">
        <v>48</v>
      </c>
      <c r="B64" s="11">
        <v>404.497715</v>
      </c>
      <c r="C64" s="11">
        <v>15.39</v>
      </c>
      <c r="D64" s="11">
        <v>100.0</v>
      </c>
    </row>
    <row r="65" ht="15.75" customHeight="1"/>
    <row r="66" ht="15.75" customHeight="1">
      <c r="A66" s="11" t="s">
        <v>32</v>
      </c>
      <c r="B66" s="10">
        <v>2628.0</v>
      </c>
      <c r="C66" s="11">
        <v>100.0</v>
      </c>
    </row>
    <row r="67" ht="15.75" customHeight="1"/>
    <row r="68" ht="15.75" customHeight="1"/>
    <row r="69" ht="15.75" customHeight="1">
      <c r="A69" s="30" t="s">
        <v>56</v>
      </c>
    </row>
    <row r="70" ht="15.75" customHeight="1"/>
    <row r="71" ht="15.75" customHeight="1">
      <c r="A71" s="11" t="s">
        <v>47</v>
      </c>
      <c r="B71" s="11" t="s">
        <v>23</v>
      </c>
      <c r="C71" s="11" t="s">
        <v>24</v>
      </c>
      <c r="D71" s="11" t="s">
        <v>25</v>
      </c>
    </row>
    <row r="72" ht="15.75" customHeight="1"/>
    <row r="73" ht="15.75" customHeight="1">
      <c r="A73" s="11" t="s">
        <v>46</v>
      </c>
      <c r="B73" s="23">
        <v>1006.4402</v>
      </c>
      <c r="C73" s="11">
        <v>42.13</v>
      </c>
      <c r="D73" s="11">
        <v>42.13</v>
      </c>
    </row>
    <row r="74" ht="15.75" customHeight="1">
      <c r="A74" s="11" t="s">
        <v>50</v>
      </c>
      <c r="B74" s="23">
        <v>1019.8469</v>
      </c>
      <c r="C74" s="11">
        <v>42.69</v>
      </c>
      <c r="D74" s="11">
        <v>84.82</v>
      </c>
    </row>
    <row r="75" ht="15.75" customHeight="1">
      <c r="A75" s="11" t="s">
        <v>48</v>
      </c>
      <c r="B75" s="11">
        <v>362.712887</v>
      </c>
      <c r="C75" s="11">
        <v>15.18</v>
      </c>
      <c r="D75" s="11">
        <v>100.0</v>
      </c>
    </row>
    <row r="76" ht="15.75" customHeight="1"/>
    <row r="77" ht="15.75" customHeight="1">
      <c r="A77" s="11" t="s">
        <v>32</v>
      </c>
      <c r="B77" s="10">
        <v>2389.0</v>
      </c>
      <c r="C77" s="11">
        <v>100.0</v>
      </c>
    </row>
    <row r="78" ht="15.75" customHeight="1"/>
    <row r="79" ht="15.75" customHeight="1"/>
    <row r="80" ht="15.75" customHeight="1">
      <c r="A80" s="30" t="s">
        <v>57</v>
      </c>
    </row>
    <row r="81" ht="15.75" customHeight="1"/>
    <row r="82" ht="15.75" customHeight="1">
      <c r="A82" s="11" t="s">
        <v>47</v>
      </c>
      <c r="B82" s="11" t="s">
        <v>23</v>
      </c>
      <c r="C82" s="11" t="s">
        <v>24</v>
      </c>
      <c r="D82" s="11" t="s">
        <v>25</v>
      </c>
    </row>
    <row r="83" ht="15.75" customHeight="1"/>
    <row r="84" ht="15.75" customHeight="1">
      <c r="A84" s="11" t="s">
        <v>46</v>
      </c>
      <c r="B84" s="23">
        <v>1146.8579</v>
      </c>
      <c r="C84" s="11">
        <v>41.61</v>
      </c>
      <c r="D84" s="11">
        <v>41.61</v>
      </c>
    </row>
    <row r="85" ht="15.75" customHeight="1">
      <c r="A85" s="11" t="s">
        <v>50</v>
      </c>
      <c r="B85" s="23">
        <v>1124.6933</v>
      </c>
      <c r="C85" s="11">
        <v>40.81</v>
      </c>
      <c r="D85" s="11">
        <v>82.42</v>
      </c>
    </row>
    <row r="86" ht="15.75" customHeight="1">
      <c r="A86" s="11" t="s">
        <v>48</v>
      </c>
      <c r="B86" s="11">
        <v>484.4487961</v>
      </c>
      <c r="C86" s="11">
        <v>17.58</v>
      </c>
      <c r="D86" s="11">
        <v>100.0</v>
      </c>
    </row>
    <row r="87" ht="15.75" customHeight="1"/>
    <row r="88" ht="15.75" customHeight="1">
      <c r="A88" s="11" t="s">
        <v>32</v>
      </c>
      <c r="B88" s="10">
        <v>2756.0</v>
      </c>
      <c r="C88" s="11">
        <v>100.0</v>
      </c>
    </row>
    <row r="89" ht="15.75" customHeight="1"/>
    <row r="90" ht="15.75" customHeight="1"/>
    <row r="91" ht="15.75" customHeight="1">
      <c r="A91" s="30" t="s">
        <v>58</v>
      </c>
    </row>
    <row r="92" ht="15.75" customHeight="1"/>
    <row r="93" ht="15.75" customHeight="1">
      <c r="A93" s="11" t="s">
        <v>47</v>
      </c>
      <c r="B93" s="11" t="s">
        <v>23</v>
      </c>
      <c r="C93" s="11" t="s">
        <v>24</v>
      </c>
      <c r="D93" s="11" t="s">
        <v>25</v>
      </c>
    </row>
    <row r="94" ht="15.75" customHeight="1"/>
    <row r="95" ht="15.75" customHeight="1">
      <c r="A95" s="11" t="s">
        <v>46</v>
      </c>
      <c r="B95" s="11">
        <v>928.980869</v>
      </c>
      <c r="C95" s="11">
        <v>41.94</v>
      </c>
      <c r="D95" s="11">
        <v>41.94</v>
      </c>
    </row>
    <row r="96" ht="15.75" customHeight="1">
      <c r="A96" s="11" t="s">
        <v>50</v>
      </c>
      <c r="B96" s="11">
        <v>879.53724</v>
      </c>
      <c r="C96" s="11">
        <v>39.71</v>
      </c>
      <c r="D96" s="11">
        <v>81.65</v>
      </c>
    </row>
    <row r="97" ht="15.75" customHeight="1">
      <c r="A97" s="11" t="s">
        <v>48</v>
      </c>
      <c r="B97" s="11">
        <v>406.48189</v>
      </c>
      <c r="C97" s="11">
        <v>18.35</v>
      </c>
      <c r="D97" s="11">
        <v>100.0</v>
      </c>
    </row>
    <row r="98" ht="15.75" customHeight="1"/>
    <row r="99" ht="15.75" customHeight="1">
      <c r="A99" s="11" t="s">
        <v>32</v>
      </c>
      <c r="B99" s="10">
        <v>2215.0</v>
      </c>
      <c r="C99" s="11">
        <v>100.0</v>
      </c>
    </row>
    <row r="100" ht="15.75" customHeight="1"/>
    <row r="101" ht="15.75" customHeight="1">
      <c r="A101" s="30" t="s">
        <v>59</v>
      </c>
    </row>
    <row r="102" ht="15.75" customHeight="1"/>
    <row r="103" ht="15.75" customHeight="1">
      <c r="A103" s="11" t="s">
        <v>47</v>
      </c>
      <c r="B103" s="11" t="s">
        <v>23</v>
      </c>
      <c r="C103" s="11" t="s">
        <v>24</v>
      </c>
      <c r="D103" s="11" t="s">
        <v>25</v>
      </c>
    </row>
    <row r="104" ht="15.75" customHeight="1"/>
    <row r="105" ht="15.75" customHeight="1">
      <c r="A105" s="11" t="s">
        <v>46</v>
      </c>
      <c r="B105" s="11">
        <v>797.291099</v>
      </c>
      <c r="C105" s="11">
        <v>45.1</v>
      </c>
      <c r="D105" s="11">
        <v>45.1</v>
      </c>
    </row>
    <row r="106" ht="15.75" customHeight="1">
      <c r="A106" s="11" t="s">
        <v>50</v>
      </c>
      <c r="B106" s="11">
        <v>685.794142</v>
      </c>
      <c r="C106" s="11">
        <v>38.79</v>
      </c>
      <c r="D106" s="11">
        <v>83.88</v>
      </c>
    </row>
    <row r="107" ht="15.75" customHeight="1">
      <c r="A107" s="11" t="s">
        <v>48</v>
      </c>
      <c r="B107" s="11">
        <v>284.914759</v>
      </c>
      <c r="C107" s="11">
        <v>16.12</v>
      </c>
      <c r="D107" s="11">
        <v>100.0</v>
      </c>
    </row>
    <row r="108" ht="15.75" customHeight="1"/>
    <row r="109" ht="15.75" customHeight="1">
      <c r="A109" s="11" t="s">
        <v>32</v>
      </c>
      <c r="B109" s="10">
        <v>1768.0</v>
      </c>
      <c r="C109" s="11">
        <v>100.0</v>
      </c>
    </row>
    <row r="110" ht="15.75" customHeight="1">
      <c r="B110" s="10"/>
    </row>
    <row r="111" ht="15.75" customHeight="1">
      <c r="A111" s="30" t="s">
        <v>60</v>
      </c>
      <c r="B111" s="10"/>
    </row>
    <row r="112" ht="15.75" customHeight="1">
      <c r="A112" s="11" t="s">
        <v>47</v>
      </c>
      <c r="B112" s="10" t="s">
        <v>23</v>
      </c>
      <c r="C112" s="11" t="s">
        <v>24</v>
      </c>
      <c r="D112" s="11" t="s">
        <v>25</v>
      </c>
    </row>
    <row r="113" ht="15.75" customHeight="1">
      <c r="B113" s="10"/>
    </row>
    <row r="114" ht="15.75" customHeight="1">
      <c r="A114" s="11" t="s">
        <v>46</v>
      </c>
      <c r="B114" s="10">
        <v>753.348157</v>
      </c>
      <c r="C114" s="11">
        <v>37.37</v>
      </c>
      <c r="D114" s="11">
        <v>37.37</v>
      </c>
    </row>
    <row r="115" ht="15.75" customHeight="1">
      <c r="A115" s="11" t="s">
        <v>50</v>
      </c>
      <c r="B115" s="10">
        <v>886.204223</v>
      </c>
      <c r="C115" s="11">
        <v>43.96</v>
      </c>
      <c r="D115" s="11">
        <v>81.33</v>
      </c>
    </row>
    <row r="116" ht="15.75" customHeight="1">
      <c r="A116" s="11" t="s">
        <v>48</v>
      </c>
      <c r="B116" s="10">
        <v>376.44762</v>
      </c>
      <c r="C116" s="11">
        <v>18.67</v>
      </c>
      <c r="D116" s="11">
        <v>100.0</v>
      </c>
    </row>
    <row r="117" ht="15.75" customHeight="1">
      <c r="B117" s="10"/>
    </row>
    <row r="118" ht="15.75" customHeight="1">
      <c r="A118" s="11" t="s">
        <v>32</v>
      </c>
      <c r="B118" s="10">
        <v>2016.0</v>
      </c>
      <c r="C118" s="11">
        <v>100.0</v>
      </c>
    </row>
    <row r="119" ht="15.75" customHeight="1">
      <c r="B119" s="10"/>
    </row>
    <row r="120" ht="15.75" customHeight="1">
      <c r="B120" s="10"/>
    </row>
    <row r="121" ht="15.75" customHeight="1">
      <c r="A121" s="14" t="s">
        <v>7</v>
      </c>
      <c r="B121" s="15"/>
      <c r="C121" s="15"/>
      <c r="D121" s="16"/>
      <c r="G121" s="8" t="s">
        <v>46</v>
      </c>
      <c r="H121" s="8" t="s">
        <v>48</v>
      </c>
    </row>
    <row r="122" ht="15.75" customHeight="1">
      <c r="A122" s="31" t="s">
        <v>61</v>
      </c>
      <c r="B122" s="15"/>
      <c r="C122" s="15"/>
      <c r="D122" s="16"/>
      <c r="F122" s="8" t="s">
        <v>62</v>
      </c>
      <c r="G122" s="21">
        <f>C145</f>
        <v>22.1</v>
      </c>
      <c r="H122" s="21">
        <f>C147</f>
        <v>40.2</v>
      </c>
    </row>
    <row r="123" ht="15.75" customHeight="1">
      <c r="A123" s="22" t="s">
        <v>63</v>
      </c>
      <c r="F123" s="8" t="s">
        <v>9</v>
      </c>
      <c r="G123" s="21">
        <f>C155</f>
        <v>32.78</v>
      </c>
      <c r="H123" s="21">
        <f>C157</f>
        <v>21.31</v>
      </c>
    </row>
    <row r="124" ht="15.75" customHeight="1">
      <c r="A124" s="11" t="s">
        <v>47</v>
      </c>
      <c r="B124" s="11" t="s">
        <v>23</v>
      </c>
      <c r="C124" s="11" t="s">
        <v>24</v>
      </c>
      <c r="D124" s="11" t="s">
        <v>25</v>
      </c>
      <c r="F124" s="8" t="s">
        <v>10</v>
      </c>
      <c r="G124" s="21">
        <f>C165</f>
        <v>40.68</v>
      </c>
      <c r="H124" s="21">
        <f>C167</f>
        <v>13.96</v>
      </c>
    </row>
    <row r="125" ht="15.75" customHeight="1">
      <c r="F125" s="8" t="s">
        <v>11</v>
      </c>
      <c r="G125" s="21">
        <f>C175</f>
        <v>39.98</v>
      </c>
      <c r="H125" s="21">
        <f>C177</f>
        <v>14.2</v>
      </c>
    </row>
    <row r="126" ht="15.75" customHeight="1">
      <c r="A126" s="11" t="s">
        <v>46</v>
      </c>
      <c r="B126" s="11">
        <v>427.258653</v>
      </c>
      <c r="C126" s="11">
        <v>44.0</v>
      </c>
      <c r="D126" s="11">
        <v>44.0</v>
      </c>
      <c r="F126" s="8" t="s">
        <v>12</v>
      </c>
      <c r="G126" s="21">
        <f>C185</f>
        <v>47.36</v>
      </c>
      <c r="H126" s="21">
        <f>C187</f>
        <v>12.67</v>
      </c>
    </row>
    <row r="127" ht="15.75" customHeight="1">
      <c r="A127" s="11" t="s">
        <v>50</v>
      </c>
      <c r="B127" s="11">
        <v>456.09118</v>
      </c>
      <c r="C127" s="11">
        <v>46.97</v>
      </c>
      <c r="D127" s="11">
        <v>90.97</v>
      </c>
      <c r="F127" s="8" t="s">
        <v>64</v>
      </c>
      <c r="G127" s="21">
        <f>C134</f>
        <v>24.73</v>
      </c>
      <c r="H127" s="21">
        <f>C136</f>
        <v>18.15</v>
      </c>
    </row>
    <row r="128" ht="15.75" customHeight="1">
      <c r="A128" s="11" t="s">
        <v>48</v>
      </c>
      <c r="B128" s="11">
        <v>87.65016771</v>
      </c>
      <c r="C128" s="11">
        <v>9.03</v>
      </c>
      <c r="D128" s="11">
        <v>100.0</v>
      </c>
      <c r="F128" s="8" t="s">
        <v>63</v>
      </c>
      <c r="G128" s="21">
        <f>C126</f>
        <v>44</v>
      </c>
      <c r="H128" s="21">
        <f>C128</f>
        <v>9.03</v>
      </c>
    </row>
    <row r="129" ht="15.75" customHeight="1"/>
    <row r="130" ht="15.75" customHeight="1">
      <c r="A130" s="11" t="s">
        <v>32</v>
      </c>
      <c r="B130" s="11">
        <v>971.0</v>
      </c>
      <c r="C130" s="11">
        <v>100.0</v>
      </c>
      <c r="F130" s="25" t="s">
        <v>65</v>
      </c>
    </row>
    <row r="131" ht="15.75" customHeight="1">
      <c r="A131" s="22" t="s">
        <v>64</v>
      </c>
      <c r="B131" s="22"/>
    </row>
    <row r="132" ht="15.75" customHeight="1">
      <c r="A132" s="11" t="s">
        <v>47</v>
      </c>
      <c r="B132" s="11" t="s">
        <v>23</v>
      </c>
      <c r="C132" s="11" t="s">
        <v>24</v>
      </c>
      <c r="D132" s="11" t="s">
        <v>25</v>
      </c>
    </row>
    <row r="133" ht="15.75" customHeight="1"/>
    <row r="134" ht="15.75" customHeight="1">
      <c r="A134" s="11" t="s">
        <v>46</v>
      </c>
      <c r="B134" s="11">
        <v>12.6114413</v>
      </c>
      <c r="C134" s="11">
        <v>24.73</v>
      </c>
      <c r="D134" s="11">
        <v>24.73</v>
      </c>
    </row>
    <row r="135" ht="15.75" customHeight="1">
      <c r="A135" s="11" t="s">
        <v>50</v>
      </c>
      <c r="B135" s="11">
        <v>29.133763</v>
      </c>
      <c r="C135" s="11">
        <v>57.13</v>
      </c>
      <c r="D135" s="11">
        <v>81.85</v>
      </c>
    </row>
    <row r="136" ht="15.75" customHeight="1">
      <c r="A136" s="11" t="s">
        <v>48</v>
      </c>
      <c r="B136" s="11">
        <v>9.2547957</v>
      </c>
      <c r="C136" s="11">
        <v>18.15</v>
      </c>
      <c r="D136" s="11">
        <v>100.0</v>
      </c>
    </row>
    <row r="137" ht="15.75" customHeight="1"/>
    <row r="138" ht="15.75" customHeight="1">
      <c r="A138" s="11" t="s">
        <v>32</v>
      </c>
      <c r="B138" s="11">
        <v>51.0</v>
      </c>
      <c r="C138" s="11">
        <v>100.0</v>
      </c>
    </row>
    <row r="139" ht="15.75" customHeight="1"/>
    <row r="140" ht="15.75" customHeight="1"/>
    <row r="141" ht="15.75" customHeight="1">
      <c r="A141" s="31" t="s">
        <v>66</v>
      </c>
      <c r="B141" s="15"/>
      <c r="C141" s="15"/>
      <c r="D141" s="16"/>
    </row>
    <row r="142" ht="15.75" customHeight="1">
      <c r="A142" s="22" t="s">
        <v>62</v>
      </c>
    </row>
    <row r="143" ht="15.75" customHeight="1">
      <c r="A143" s="11" t="s">
        <v>47</v>
      </c>
      <c r="B143" s="11" t="s">
        <v>23</v>
      </c>
      <c r="C143" s="11" t="s">
        <v>24</v>
      </c>
      <c r="D143" s="11" t="s">
        <v>25</v>
      </c>
    </row>
    <row r="144" ht="15.75" customHeight="1"/>
    <row r="145" ht="15.75" customHeight="1">
      <c r="A145" s="11" t="s">
        <v>46</v>
      </c>
      <c r="B145" s="11">
        <v>43.31159849</v>
      </c>
      <c r="C145" s="11">
        <v>22.1</v>
      </c>
      <c r="D145" s="11">
        <v>22.1</v>
      </c>
    </row>
    <row r="146" ht="15.75" customHeight="1">
      <c r="A146" s="11" t="s">
        <v>50</v>
      </c>
      <c r="B146" s="11">
        <v>73.9058726</v>
      </c>
      <c r="C146" s="11">
        <v>37.71</v>
      </c>
      <c r="D146" s="11">
        <v>59.8</v>
      </c>
    </row>
    <row r="147" ht="15.75" customHeight="1">
      <c r="A147" s="11" t="s">
        <v>48</v>
      </c>
      <c r="B147" s="11">
        <v>78.7825289</v>
      </c>
      <c r="C147" s="11">
        <v>40.2</v>
      </c>
      <c r="D147" s="11">
        <v>100.0</v>
      </c>
    </row>
    <row r="148" ht="15.75" customHeight="1"/>
    <row r="149" ht="15.75" customHeight="1">
      <c r="A149" s="11" t="s">
        <v>32</v>
      </c>
      <c r="B149" s="11">
        <v>196.0</v>
      </c>
      <c r="C149" s="11">
        <v>100.0</v>
      </c>
    </row>
    <row r="150" ht="15.75" customHeight="1"/>
    <row r="151" ht="15.75" customHeight="1"/>
    <row r="152" ht="15.75" customHeight="1">
      <c r="A152" s="22" t="s">
        <v>9</v>
      </c>
    </row>
    <row r="153" ht="15.75" customHeight="1">
      <c r="A153" s="11" t="s">
        <v>47</v>
      </c>
      <c r="B153" s="11" t="s">
        <v>23</v>
      </c>
      <c r="C153" s="11" t="s">
        <v>24</v>
      </c>
      <c r="D153" s="11" t="s">
        <v>25</v>
      </c>
    </row>
    <row r="154" ht="15.75" customHeight="1"/>
    <row r="155" ht="15.75" customHeight="1">
      <c r="A155" s="11" t="s">
        <v>46</v>
      </c>
      <c r="B155" s="11">
        <v>123.262562</v>
      </c>
      <c r="C155" s="11">
        <v>32.78</v>
      </c>
      <c r="D155" s="11">
        <v>32.78</v>
      </c>
    </row>
    <row r="156" ht="15.75" customHeight="1">
      <c r="A156" s="11" t="s">
        <v>50</v>
      </c>
      <c r="B156" s="11">
        <v>172.614414</v>
      </c>
      <c r="C156" s="11">
        <v>45.91</v>
      </c>
      <c r="D156" s="11">
        <v>78.69</v>
      </c>
    </row>
    <row r="157" ht="15.75" customHeight="1">
      <c r="A157" s="11" t="s">
        <v>48</v>
      </c>
      <c r="B157" s="11">
        <v>80.1230236</v>
      </c>
      <c r="C157" s="11">
        <v>21.31</v>
      </c>
      <c r="D157" s="11">
        <v>100.0</v>
      </c>
    </row>
    <row r="158" ht="15.75" customHeight="1"/>
    <row r="159" ht="15.75" customHeight="1">
      <c r="A159" s="11" t="s">
        <v>32</v>
      </c>
      <c r="B159" s="11">
        <v>376.0</v>
      </c>
      <c r="C159" s="11">
        <v>100.0</v>
      </c>
    </row>
    <row r="160" ht="15.75" customHeight="1"/>
    <row r="161" ht="15.75" customHeight="1"/>
    <row r="162" ht="15.75" customHeight="1">
      <c r="A162" s="22" t="s">
        <v>10</v>
      </c>
    </row>
    <row r="163" ht="15.75" customHeight="1">
      <c r="A163" s="11" t="s">
        <v>47</v>
      </c>
      <c r="B163" s="11" t="s">
        <v>23</v>
      </c>
      <c r="C163" s="11" t="s">
        <v>24</v>
      </c>
      <c r="D163" s="11" t="s">
        <v>25</v>
      </c>
    </row>
    <row r="164" ht="15.75" customHeight="1"/>
    <row r="165" ht="15.75" customHeight="1">
      <c r="A165" s="11" t="s">
        <v>46</v>
      </c>
      <c r="B165" s="11">
        <v>168.841824</v>
      </c>
      <c r="C165" s="11">
        <v>40.68</v>
      </c>
      <c r="D165" s="11">
        <v>40.68</v>
      </c>
    </row>
    <row r="166" ht="15.75" customHeight="1">
      <c r="A166" s="11" t="s">
        <v>50</v>
      </c>
      <c r="B166" s="11">
        <v>188.2244891</v>
      </c>
      <c r="C166" s="11">
        <v>45.36</v>
      </c>
      <c r="D166" s="11">
        <v>86.04</v>
      </c>
    </row>
    <row r="167" ht="15.75" customHeight="1">
      <c r="A167" s="11" t="s">
        <v>48</v>
      </c>
      <c r="B167" s="11">
        <v>57.933687</v>
      </c>
      <c r="C167" s="11">
        <v>13.96</v>
      </c>
      <c r="D167" s="11">
        <v>100.0</v>
      </c>
    </row>
    <row r="168" ht="15.75" customHeight="1"/>
    <row r="169" ht="15.75" customHeight="1">
      <c r="A169" s="11" t="s">
        <v>32</v>
      </c>
      <c r="B169" s="11">
        <v>415.0</v>
      </c>
      <c r="C169" s="11">
        <v>100.0</v>
      </c>
    </row>
    <row r="170" ht="15.75" customHeight="1"/>
    <row r="171" ht="15.75" customHeight="1"/>
    <row r="172" ht="15.75" customHeight="1">
      <c r="A172" s="22" t="s">
        <v>11</v>
      </c>
    </row>
    <row r="173" ht="15.75" customHeight="1">
      <c r="A173" s="11" t="s">
        <v>47</v>
      </c>
      <c r="B173" s="11" t="s">
        <v>23</v>
      </c>
      <c r="C173" s="11" t="s">
        <v>24</v>
      </c>
      <c r="D173" s="11" t="s">
        <v>25</v>
      </c>
    </row>
    <row r="174" ht="15.75" customHeight="1"/>
    <row r="175" ht="15.75" customHeight="1">
      <c r="A175" s="11" t="s">
        <v>46</v>
      </c>
      <c r="B175" s="11">
        <v>174.305831</v>
      </c>
      <c r="C175" s="11">
        <v>39.98</v>
      </c>
      <c r="D175" s="11">
        <v>39.98</v>
      </c>
    </row>
    <row r="176" ht="15.75" customHeight="1">
      <c r="A176" s="11" t="s">
        <v>50</v>
      </c>
      <c r="B176" s="11">
        <v>199.7962889</v>
      </c>
      <c r="C176" s="11">
        <v>45.82</v>
      </c>
      <c r="D176" s="11">
        <v>85.8</v>
      </c>
    </row>
    <row r="177" ht="15.75" customHeight="1">
      <c r="A177" s="11" t="s">
        <v>48</v>
      </c>
      <c r="B177" s="11">
        <v>61.8978803</v>
      </c>
      <c r="C177" s="11">
        <v>14.2</v>
      </c>
      <c r="D177" s="11">
        <v>100.0</v>
      </c>
    </row>
    <row r="178" ht="15.75" customHeight="1"/>
    <row r="179" ht="15.75" customHeight="1">
      <c r="A179" s="11" t="s">
        <v>32</v>
      </c>
      <c r="B179" s="11">
        <v>436.0</v>
      </c>
      <c r="C179" s="11">
        <v>100.0</v>
      </c>
    </row>
    <row r="180" ht="15.75" customHeight="1"/>
    <row r="181" ht="15.75" customHeight="1"/>
    <row r="182" ht="15.75" customHeight="1">
      <c r="A182" s="22" t="s">
        <v>12</v>
      </c>
    </row>
    <row r="183" ht="15.75" customHeight="1">
      <c r="A183" s="11" t="s">
        <v>47</v>
      </c>
      <c r="B183" s="11" t="s">
        <v>23</v>
      </c>
      <c r="C183" s="11" t="s">
        <v>24</v>
      </c>
      <c r="D183" s="11" t="s">
        <v>25</v>
      </c>
    </row>
    <row r="184" ht="15.75" customHeight="1"/>
    <row r="185" ht="15.75" customHeight="1">
      <c r="A185" s="11" t="s">
        <v>46</v>
      </c>
      <c r="B185" s="11">
        <v>276.1015741</v>
      </c>
      <c r="C185" s="11">
        <v>47.36</v>
      </c>
      <c r="D185" s="11">
        <v>47.36</v>
      </c>
    </row>
    <row r="186" ht="15.75" customHeight="1">
      <c r="A186" s="11" t="s">
        <v>50</v>
      </c>
      <c r="B186" s="11">
        <v>233.041095</v>
      </c>
      <c r="C186" s="11">
        <v>39.97</v>
      </c>
      <c r="D186" s="11">
        <v>87.33</v>
      </c>
    </row>
    <row r="187" ht="15.75" customHeight="1">
      <c r="A187" s="11" t="s">
        <v>48</v>
      </c>
      <c r="B187" s="11">
        <v>73.8573311</v>
      </c>
      <c r="C187" s="11">
        <v>12.67</v>
      </c>
      <c r="D187" s="11">
        <v>100.0</v>
      </c>
    </row>
    <row r="188" ht="15.75" customHeight="1"/>
    <row r="189" ht="15.75" customHeight="1">
      <c r="A189" s="11" t="s">
        <v>32</v>
      </c>
      <c r="B189" s="11">
        <v>583.0</v>
      </c>
      <c r="C189" s="11">
        <v>100.0</v>
      </c>
    </row>
    <row r="190" ht="15.75" customHeight="1">
      <c r="A190" s="14" t="s">
        <v>7</v>
      </c>
      <c r="B190" s="15"/>
      <c r="C190" s="15"/>
      <c r="D190" s="16"/>
      <c r="F190" s="8" t="s">
        <v>67</v>
      </c>
      <c r="G190" s="11" t="s">
        <v>68</v>
      </c>
      <c r="H190" s="11">
        <v>2.0</v>
      </c>
      <c r="I190" s="11">
        <v>3.0</v>
      </c>
      <c r="J190" s="11">
        <v>4.0</v>
      </c>
      <c r="K190" s="11">
        <v>5.0</v>
      </c>
      <c r="L190" s="11">
        <v>6.0</v>
      </c>
      <c r="M190" s="11">
        <v>7.0</v>
      </c>
      <c r="N190" s="11">
        <v>8.0</v>
      </c>
      <c r="O190" s="11">
        <v>9.0</v>
      </c>
      <c r="P190" s="11" t="s">
        <v>69</v>
      </c>
    </row>
    <row r="191" ht="15.75" customHeight="1">
      <c r="A191" s="31" t="s">
        <v>70</v>
      </c>
      <c r="B191" s="15"/>
      <c r="C191" s="15"/>
      <c r="D191" s="16"/>
      <c r="F191" s="8" t="s">
        <v>71</v>
      </c>
      <c r="G191" s="21">
        <f>C196</f>
        <v>60.19</v>
      </c>
      <c r="H191" s="21">
        <f>C206</f>
        <v>75.7</v>
      </c>
      <c r="I191" s="21">
        <f>C216</f>
        <v>77.96</v>
      </c>
      <c r="J191" s="21">
        <f>C226</f>
        <v>85.06</v>
      </c>
      <c r="K191" s="21">
        <f>C236</f>
        <v>83.99</v>
      </c>
      <c r="L191" s="21">
        <f>C246</f>
        <v>83.99</v>
      </c>
      <c r="M191" s="21">
        <f>C256</f>
        <v>83.82</v>
      </c>
      <c r="N191" s="21">
        <f>C266</f>
        <v>85.18</v>
      </c>
      <c r="O191" s="21">
        <f>C276</f>
        <v>92.62</v>
      </c>
      <c r="P191" s="21">
        <f>C286</f>
        <v>87.1</v>
      </c>
    </row>
    <row r="192" ht="15.75" customHeight="1">
      <c r="A192" s="32">
        <v>1.0</v>
      </c>
    </row>
    <row r="193" ht="15.75" customHeight="1">
      <c r="A193" s="11" t="s">
        <v>72</v>
      </c>
      <c r="B193" s="11" t="s">
        <v>23</v>
      </c>
      <c r="C193" s="11" t="s">
        <v>24</v>
      </c>
      <c r="D193" s="11" t="s">
        <v>25</v>
      </c>
      <c r="F193" s="25" t="s">
        <v>73</v>
      </c>
    </row>
    <row r="194" ht="15.75" customHeight="1"/>
    <row r="195" ht="15.75" customHeight="1">
      <c r="A195" s="11" t="s">
        <v>74</v>
      </c>
      <c r="B195" s="11">
        <v>83.6071855</v>
      </c>
      <c r="C195" s="11">
        <v>39.81</v>
      </c>
      <c r="D195" s="11">
        <v>39.81</v>
      </c>
    </row>
    <row r="196" ht="15.75" customHeight="1">
      <c r="A196" s="11" t="s">
        <v>50</v>
      </c>
      <c r="B196" s="11">
        <v>126.392814</v>
      </c>
      <c r="C196" s="11">
        <v>60.19</v>
      </c>
      <c r="D196" s="11">
        <v>100.0</v>
      </c>
    </row>
    <row r="197" ht="15.75" customHeight="1"/>
    <row r="198" ht="15.75" customHeight="1">
      <c r="A198" s="11" t="s">
        <v>32</v>
      </c>
      <c r="B198" s="11">
        <v>210.0</v>
      </c>
      <c r="C198" s="11">
        <v>100.0</v>
      </c>
    </row>
    <row r="199" ht="15.75" customHeight="1"/>
    <row r="200" ht="15.75" customHeight="1"/>
    <row r="201" ht="15.75" customHeight="1">
      <c r="A201" s="32">
        <v>2.0</v>
      </c>
    </row>
    <row r="202" ht="15.75" customHeight="1"/>
    <row r="203" ht="15.75" customHeight="1">
      <c r="A203" s="11" t="s">
        <v>72</v>
      </c>
      <c r="B203" s="11" t="s">
        <v>23</v>
      </c>
      <c r="C203" s="11" t="s">
        <v>24</v>
      </c>
      <c r="D203" s="11" t="s">
        <v>25</v>
      </c>
    </row>
    <row r="204" ht="15.75" customHeight="1"/>
    <row r="205" ht="15.75" customHeight="1">
      <c r="A205" s="11" t="s">
        <v>74</v>
      </c>
      <c r="B205" s="11">
        <v>55.4109514</v>
      </c>
      <c r="C205" s="11">
        <v>24.3</v>
      </c>
      <c r="D205" s="11">
        <v>24.3</v>
      </c>
    </row>
    <row r="206" ht="15.75" customHeight="1">
      <c r="A206" s="11" t="s">
        <v>50</v>
      </c>
      <c r="B206" s="11">
        <v>172.589049</v>
      </c>
      <c r="C206" s="11">
        <v>75.7</v>
      </c>
      <c r="D206" s="11">
        <v>100.0</v>
      </c>
    </row>
    <row r="207" ht="15.75" customHeight="1"/>
    <row r="208" ht="15.75" customHeight="1">
      <c r="A208" s="11" t="s">
        <v>32</v>
      </c>
      <c r="B208" s="11">
        <v>228.0</v>
      </c>
      <c r="C208" s="11">
        <v>100.0</v>
      </c>
    </row>
    <row r="209" ht="15.75" customHeight="1"/>
    <row r="210" ht="15.75" customHeight="1"/>
    <row r="211" ht="15.75" customHeight="1">
      <c r="A211" s="32">
        <v>3.0</v>
      </c>
    </row>
    <row r="212" ht="15.75" customHeight="1"/>
    <row r="213" ht="15.75" customHeight="1">
      <c r="A213" s="11" t="s">
        <v>72</v>
      </c>
      <c r="B213" s="11" t="s">
        <v>23</v>
      </c>
      <c r="C213" s="11" t="s">
        <v>24</v>
      </c>
      <c r="D213" s="11" t="s">
        <v>25</v>
      </c>
    </row>
    <row r="214" ht="15.75" customHeight="1"/>
    <row r="215" ht="15.75" customHeight="1">
      <c r="A215" s="11" t="s">
        <v>74</v>
      </c>
      <c r="B215" s="11">
        <v>50.4670897</v>
      </c>
      <c r="C215" s="11">
        <v>22.04</v>
      </c>
      <c r="D215" s="11">
        <v>22.04</v>
      </c>
    </row>
    <row r="216" ht="15.75" customHeight="1">
      <c r="A216" s="11" t="s">
        <v>50</v>
      </c>
      <c r="B216" s="11">
        <v>178.53291</v>
      </c>
      <c r="C216" s="11">
        <v>77.96</v>
      </c>
      <c r="D216" s="11">
        <v>100.0</v>
      </c>
    </row>
    <row r="217" ht="15.75" customHeight="1"/>
    <row r="218" ht="15.75" customHeight="1">
      <c r="A218" s="11" t="s">
        <v>32</v>
      </c>
      <c r="B218" s="11">
        <v>229.0</v>
      </c>
      <c r="C218" s="11">
        <v>100.0</v>
      </c>
    </row>
    <row r="219" ht="15.75" customHeight="1"/>
    <row r="220" ht="15.75" customHeight="1"/>
    <row r="221" ht="15.75" customHeight="1">
      <c r="A221" s="32">
        <v>4.0</v>
      </c>
    </row>
    <row r="222" ht="15.75" customHeight="1"/>
    <row r="223" ht="15.75" customHeight="1">
      <c r="A223" s="11" t="s">
        <v>72</v>
      </c>
      <c r="B223" s="11" t="s">
        <v>23</v>
      </c>
      <c r="C223" s="11" t="s">
        <v>24</v>
      </c>
      <c r="D223" s="11" t="s">
        <v>25</v>
      </c>
    </row>
    <row r="224" ht="15.75" customHeight="1"/>
    <row r="225" ht="15.75" customHeight="1">
      <c r="A225" s="11" t="s">
        <v>74</v>
      </c>
      <c r="B225" s="11">
        <v>28.8288187</v>
      </c>
      <c r="C225" s="11">
        <v>14.94</v>
      </c>
      <c r="D225" s="11">
        <v>14.94</v>
      </c>
    </row>
    <row r="226" ht="15.75" customHeight="1">
      <c r="A226" s="11" t="s">
        <v>50</v>
      </c>
      <c r="B226" s="11">
        <v>164.171181</v>
      </c>
      <c r="C226" s="11">
        <v>85.06</v>
      </c>
      <c r="D226" s="11">
        <v>100.0</v>
      </c>
    </row>
    <row r="227" ht="15.75" customHeight="1"/>
    <row r="228" ht="15.75" customHeight="1">
      <c r="A228" s="11" t="s">
        <v>32</v>
      </c>
      <c r="B228" s="11">
        <v>193.0</v>
      </c>
      <c r="C228" s="11">
        <v>100.0</v>
      </c>
    </row>
    <row r="229" ht="15.75" customHeight="1"/>
    <row r="230" ht="15.75" customHeight="1"/>
    <row r="231" ht="15.75" customHeight="1">
      <c r="A231" s="32">
        <v>5.0</v>
      </c>
    </row>
    <row r="232" ht="15.75" customHeight="1"/>
    <row r="233" ht="15.75" customHeight="1">
      <c r="A233" s="11" t="s">
        <v>72</v>
      </c>
      <c r="B233" s="11" t="s">
        <v>23</v>
      </c>
      <c r="C233" s="11" t="s">
        <v>24</v>
      </c>
      <c r="D233" s="11" t="s">
        <v>25</v>
      </c>
    </row>
    <row r="234" ht="15.75" customHeight="1"/>
    <row r="235" ht="15.75" customHeight="1">
      <c r="A235" s="11" t="s">
        <v>74</v>
      </c>
      <c r="B235" s="11">
        <v>27.86564</v>
      </c>
      <c r="C235" s="11">
        <v>16.01</v>
      </c>
      <c r="D235" s="11">
        <v>16.01</v>
      </c>
    </row>
    <row r="236" ht="15.75" customHeight="1">
      <c r="A236" s="11" t="s">
        <v>50</v>
      </c>
      <c r="B236" s="11">
        <v>146.13436</v>
      </c>
      <c r="C236" s="11">
        <v>83.99</v>
      </c>
      <c r="D236" s="11">
        <v>100.0</v>
      </c>
    </row>
    <row r="237" ht="15.75" customHeight="1"/>
    <row r="238" ht="15.75" customHeight="1">
      <c r="A238" s="11" t="s">
        <v>32</v>
      </c>
      <c r="B238" s="11">
        <v>174.0</v>
      </c>
      <c r="C238" s="11">
        <v>100.0</v>
      </c>
    </row>
    <row r="239" ht="15.75" customHeight="1"/>
    <row r="240" ht="15.75" customHeight="1"/>
    <row r="241" ht="15.75" customHeight="1">
      <c r="A241" s="32">
        <v>6.0</v>
      </c>
    </row>
    <row r="242" ht="15.75" customHeight="1"/>
    <row r="243" ht="15.75" customHeight="1">
      <c r="A243" s="11" t="s">
        <v>72</v>
      </c>
      <c r="B243" s="11" t="s">
        <v>23</v>
      </c>
      <c r="C243" s="11" t="s">
        <v>24</v>
      </c>
      <c r="D243" s="11" t="s">
        <v>25</v>
      </c>
    </row>
    <row r="244" ht="15.75" customHeight="1"/>
    <row r="245" ht="15.75" customHeight="1">
      <c r="A245" s="11" t="s">
        <v>74</v>
      </c>
      <c r="B245" s="11">
        <v>27.86564</v>
      </c>
      <c r="C245" s="11">
        <v>16.01</v>
      </c>
      <c r="D245" s="11">
        <v>16.01</v>
      </c>
    </row>
    <row r="246" ht="15.75" customHeight="1">
      <c r="A246" s="11" t="s">
        <v>50</v>
      </c>
      <c r="B246" s="11">
        <v>146.13436</v>
      </c>
      <c r="C246" s="11">
        <v>83.99</v>
      </c>
      <c r="D246" s="11">
        <v>100.0</v>
      </c>
    </row>
    <row r="247" ht="15.75" customHeight="1"/>
    <row r="248" ht="15.75" customHeight="1">
      <c r="A248" s="11" t="s">
        <v>32</v>
      </c>
      <c r="B248" s="11">
        <v>174.0</v>
      </c>
      <c r="C248" s="11">
        <v>100.0</v>
      </c>
    </row>
    <row r="249" ht="15.75" customHeight="1"/>
    <row r="250" ht="15.75" customHeight="1"/>
    <row r="251" ht="15.75" customHeight="1">
      <c r="A251" s="32">
        <v>7.0</v>
      </c>
    </row>
    <row r="252" ht="15.75" customHeight="1"/>
    <row r="253" ht="15.75" customHeight="1">
      <c r="A253" s="11" t="s">
        <v>72</v>
      </c>
      <c r="B253" s="11" t="s">
        <v>23</v>
      </c>
      <c r="C253" s="11" t="s">
        <v>24</v>
      </c>
      <c r="D253" s="11" t="s">
        <v>25</v>
      </c>
    </row>
    <row r="254" ht="15.75" customHeight="1"/>
    <row r="255" ht="15.75" customHeight="1">
      <c r="A255" s="11" t="s">
        <v>74</v>
      </c>
      <c r="B255" s="11">
        <v>22.4842814</v>
      </c>
      <c r="C255" s="11">
        <v>16.18</v>
      </c>
      <c r="D255" s="11">
        <v>16.18</v>
      </c>
    </row>
    <row r="256" ht="15.75" customHeight="1">
      <c r="A256" s="11" t="s">
        <v>50</v>
      </c>
      <c r="B256" s="11">
        <v>116.5157186</v>
      </c>
      <c r="C256" s="11">
        <v>83.82</v>
      </c>
      <c r="D256" s="11">
        <v>100.0</v>
      </c>
    </row>
    <row r="257" ht="15.75" customHeight="1"/>
    <row r="258" ht="15.75" customHeight="1">
      <c r="A258" s="11" t="s">
        <v>32</v>
      </c>
      <c r="B258" s="11">
        <v>139.0</v>
      </c>
      <c r="C258" s="11">
        <v>100.0</v>
      </c>
    </row>
    <row r="259" ht="15.75" customHeight="1"/>
    <row r="260" ht="15.75" customHeight="1"/>
    <row r="261" ht="15.75" customHeight="1">
      <c r="A261" s="32">
        <v>8.0</v>
      </c>
    </row>
    <row r="262" ht="15.75" customHeight="1"/>
    <row r="263" ht="15.75" customHeight="1">
      <c r="A263" s="11" t="s">
        <v>72</v>
      </c>
      <c r="B263" s="11" t="s">
        <v>23</v>
      </c>
      <c r="C263" s="11" t="s">
        <v>24</v>
      </c>
      <c r="D263" s="11" t="s">
        <v>25</v>
      </c>
    </row>
    <row r="264" ht="15.75" customHeight="1"/>
    <row r="265" ht="15.75" customHeight="1">
      <c r="A265" s="11" t="s">
        <v>74</v>
      </c>
      <c r="B265" s="11">
        <v>16.5933014</v>
      </c>
      <c r="C265" s="11">
        <v>14.82</v>
      </c>
      <c r="D265" s="11">
        <v>14.82</v>
      </c>
    </row>
    <row r="266" ht="15.75" customHeight="1">
      <c r="A266" s="11" t="s">
        <v>50</v>
      </c>
      <c r="B266" s="11">
        <v>95.4066986</v>
      </c>
      <c r="C266" s="11">
        <v>85.18</v>
      </c>
      <c r="D266" s="11">
        <v>100.0</v>
      </c>
    </row>
    <row r="267" ht="15.75" customHeight="1"/>
    <row r="268" ht="15.75" customHeight="1">
      <c r="A268" s="11" t="s">
        <v>32</v>
      </c>
      <c r="B268" s="11">
        <v>112.0</v>
      </c>
      <c r="C268" s="11">
        <v>100.0</v>
      </c>
    </row>
    <row r="269" ht="15.75" customHeight="1"/>
    <row r="270" ht="15.75" customHeight="1"/>
    <row r="271" ht="15.75" customHeight="1">
      <c r="A271" s="32">
        <v>9.0</v>
      </c>
    </row>
    <row r="272" ht="15.75" customHeight="1"/>
    <row r="273" ht="15.75" customHeight="1">
      <c r="A273" s="11" t="s">
        <v>72</v>
      </c>
      <c r="B273" s="11" t="s">
        <v>23</v>
      </c>
      <c r="C273" s="11" t="s">
        <v>24</v>
      </c>
      <c r="D273" s="11" t="s">
        <v>25</v>
      </c>
    </row>
    <row r="274" ht="15.75" customHeight="1"/>
    <row r="275" ht="15.75" customHeight="1">
      <c r="A275" s="11" t="s">
        <v>74</v>
      </c>
      <c r="B275" s="11">
        <v>7.82518052</v>
      </c>
      <c r="C275" s="11">
        <v>7.38</v>
      </c>
      <c r="D275" s="11">
        <v>7.38</v>
      </c>
    </row>
    <row r="276" ht="15.75" customHeight="1">
      <c r="A276" s="11" t="s">
        <v>50</v>
      </c>
      <c r="B276" s="11">
        <v>98.1748195</v>
      </c>
      <c r="C276" s="11">
        <v>92.62</v>
      </c>
      <c r="D276" s="11">
        <v>100.0</v>
      </c>
    </row>
    <row r="277" ht="15.75" customHeight="1"/>
    <row r="278" ht="15.75" customHeight="1">
      <c r="A278" s="11" t="s">
        <v>32</v>
      </c>
      <c r="B278" s="11">
        <v>106.0</v>
      </c>
      <c r="C278" s="11">
        <v>100.0</v>
      </c>
    </row>
    <row r="279" ht="15.75" customHeight="1"/>
    <row r="280" ht="15.75" customHeight="1"/>
    <row r="281" ht="15.75" customHeight="1">
      <c r="A281" s="32">
        <v>10.0</v>
      </c>
    </row>
    <row r="282" ht="15.75" customHeight="1"/>
    <row r="283" ht="15.75" customHeight="1">
      <c r="A283" s="11" t="s">
        <v>72</v>
      </c>
      <c r="B283" s="11" t="s">
        <v>23</v>
      </c>
      <c r="C283" s="11" t="s">
        <v>24</v>
      </c>
      <c r="D283" s="11" t="s">
        <v>25</v>
      </c>
    </row>
    <row r="284" ht="15.75" customHeight="1"/>
    <row r="285" ht="15.75" customHeight="1">
      <c r="A285" s="11" t="s">
        <v>74</v>
      </c>
      <c r="B285" s="11">
        <v>8.25677696</v>
      </c>
      <c r="C285" s="11">
        <v>12.9</v>
      </c>
      <c r="D285" s="11">
        <v>12.9</v>
      </c>
    </row>
    <row r="286" ht="15.75" customHeight="1">
      <c r="A286" s="11" t="s">
        <v>50</v>
      </c>
      <c r="B286" s="11">
        <v>55.743223</v>
      </c>
      <c r="C286" s="11">
        <v>87.1</v>
      </c>
      <c r="D286" s="11">
        <v>100.0</v>
      </c>
    </row>
    <row r="287" ht="15.75" customHeight="1"/>
    <row r="288" ht="15.75" customHeight="1">
      <c r="A288" s="11" t="s">
        <v>32</v>
      </c>
      <c r="B288" s="11">
        <v>64.0</v>
      </c>
      <c r="C288" s="11">
        <v>100.0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>
      <c r="A298" s="14" t="s">
        <v>7</v>
      </c>
      <c r="B298" s="15"/>
      <c r="C298" s="15"/>
      <c r="D298" s="16"/>
      <c r="I298" s="6" t="s">
        <v>75</v>
      </c>
      <c r="J298" s="6" t="s">
        <v>76</v>
      </c>
      <c r="K298" s="6" t="s">
        <v>77</v>
      </c>
      <c r="L298" s="6" t="s">
        <v>78</v>
      </c>
      <c r="M298" s="6" t="s">
        <v>79</v>
      </c>
      <c r="N298" s="6" t="s">
        <v>80</v>
      </c>
      <c r="O298" s="6" t="s">
        <v>81</v>
      </c>
    </row>
    <row r="299" ht="15.75" customHeight="1">
      <c r="A299" s="31" t="s">
        <v>82</v>
      </c>
      <c r="B299" s="15"/>
      <c r="C299" s="15"/>
      <c r="D299" s="15"/>
      <c r="E299" s="16"/>
      <c r="G299" s="8" t="s">
        <v>83</v>
      </c>
      <c r="I299" s="21">
        <f>D304</f>
        <v>45.73</v>
      </c>
      <c r="J299" s="21">
        <f>E313</f>
        <v>39.3</v>
      </c>
      <c r="K299" s="21">
        <f>E323</f>
        <v>30</v>
      </c>
      <c r="L299" s="21">
        <f>E332</f>
        <v>31.41</v>
      </c>
      <c r="M299" s="21">
        <f>E341</f>
        <v>35.07</v>
      </c>
      <c r="N299" s="21">
        <f>E351</f>
        <v>36.58</v>
      </c>
      <c r="O299" s="21">
        <f>E360</f>
        <v>55.47</v>
      </c>
    </row>
    <row r="300" ht="15.75" customHeight="1">
      <c r="A300" s="22" t="s">
        <v>84</v>
      </c>
      <c r="G300" s="8" t="s">
        <v>85</v>
      </c>
      <c r="I300" s="21">
        <f>C370</f>
        <v>61.91</v>
      </c>
      <c r="J300" s="21">
        <f>C380</f>
        <v>49.62</v>
      </c>
      <c r="K300" s="21">
        <f>C390</f>
        <v>42.2</v>
      </c>
      <c r="L300" s="21">
        <f>C400</f>
        <v>35.5</v>
      </c>
      <c r="M300" s="21">
        <f>C410</f>
        <v>28.3</v>
      </c>
      <c r="N300" s="21">
        <f>C420</f>
        <v>25.43</v>
      </c>
      <c r="O300" s="21">
        <f>C430</f>
        <v>17.49</v>
      </c>
    </row>
    <row r="301" ht="15.75" customHeight="1"/>
    <row r="302" ht="15.75" customHeight="1">
      <c r="B302" s="11" t="s">
        <v>86</v>
      </c>
      <c r="C302" s="11" t="s">
        <v>23</v>
      </c>
      <c r="D302" s="11" t="s">
        <v>24</v>
      </c>
      <c r="E302" s="11" t="s">
        <v>25</v>
      </c>
      <c r="G302" s="25" t="s">
        <v>87</v>
      </c>
    </row>
    <row r="303" ht="15.75" customHeight="1"/>
    <row r="304" ht="15.75" customHeight="1">
      <c r="A304" s="11" t="s">
        <v>88</v>
      </c>
      <c r="B304" s="11" t="s">
        <v>88</v>
      </c>
      <c r="C304" s="11">
        <v>60.82204505</v>
      </c>
      <c r="D304" s="11">
        <v>45.73</v>
      </c>
      <c r="E304" s="11">
        <v>45.73</v>
      </c>
    </row>
    <row r="305" ht="15.75" customHeight="1">
      <c r="A305" s="11" t="s">
        <v>89</v>
      </c>
      <c r="B305" s="11" t="s">
        <v>89</v>
      </c>
      <c r="C305" s="11">
        <v>72.17795495</v>
      </c>
      <c r="D305" s="11">
        <v>54.27</v>
      </c>
      <c r="E305" s="11">
        <v>100.0</v>
      </c>
    </row>
    <row r="306" ht="15.75" customHeight="1"/>
    <row r="307" ht="15.75" customHeight="1">
      <c r="B307" s="11" t="s">
        <v>32</v>
      </c>
      <c r="C307" s="11">
        <v>133.0</v>
      </c>
      <c r="D307" s="11">
        <v>100.0</v>
      </c>
    </row>
    <row r="308" ht="15.75" customHeight="1"/>
    <row r="309" ht="15.75" customHeight="1">
      <c r="A309" s="32" t="s">
        <v>76</v>
      </c>
    </row>
    <row r="310" ht="15.75" customHeight="1"/>
    <row r="311" ht="15.75" customHeight="1">
      <c r="B311" s="11" t="s">
        <v>86</v>
      </c>
      <c r="C311" s="11" t="s">
        <v>23</v>
      </c>
      <c r="D311" s="11" t="s">
        <v>24</v>
      </c>
      <c r="E311" s="11" t="s">
        <v>25</v>
      </c>
    </row>
    <row r="312" ht="15.75" customHeight="1"/>
    <row r="313" ht="15.75" customHeight="1">
      <c r="A313" s="11" t="s">
        <v>88</v>
      </c>
      <c r="B313" s="11" t="s">
        <v>88</v>
      </c>
      <c r="C313" s="11">
        <v>80.1778218</v>
      </c>
      <c r="D313" s="11">
        <v>39.3</v>
      </c>
      <c r="E313" s="11">
        <v>39.3</v>
      </c>
      <c r="F313" s="11">
        <v>38.52</v>
      </c>
    </row>
    <row r="314" ht="15.75" customHeight="1">
      <c r="A314" s="11" t="s">
        <v>89</v>
      </c>
      <c r="B314" s="11" t="s">
        <v>89</v>
      </c>
      <c r="C314" s="11">
        <v>123.822178</v>
      </c>
      <c r="D314" s="11">
        <v>60.7</v>
      </c>
      <c r="E314" s="11">
        <v>100.0</v>
      </c>
      <c r="F314" s="11">
        <v>100.0</v>
      </c>
    </row>
    <row r="315" ht="15.75" customHeight="1"/>
    <row r="316" ht="15.75" customHeight="1">
      <c r="B316" s="11" t="s">
        <v>32</v>
      </c>
      <c r="C316" s="11">
        <v>204.0</v>
      </c>
      <c r="D316" s="11">
        <v>100.0</v>
      </c>
    </row>
    <row r="317" ht="15.75" customHeight="1"/>
    <row r="318" ht="15.75" customHeight="1"/>
    <row r="319" ht="15.75" customHeight="1">
      <c r="A319" s="32" t="s">
        <v>77</v>
      </c>
      <c r="B319" s="11">
        <v>45.0</v>
      </c>
    </row>
    <row r="320" ht="15.75" customHeight="1"/>
    <row r="321" ht="15.75" customHeight="1">
      <c r="C321" s="11" t="s">
        <v>86</v>
      </c>
      <c r="D321" s="11" t="s">
        <v>23</v>
      </c>
      <c r="E321" s="11" t="s">
        <v>24</v>
      </c>
      <c r="F321" s="11" t="s">
        <v>25</v>
      </c>
    </row>
    <row r="322" ht="15.75" customHeight="1"/>
    <row r="323" ht="15.75" customHeight="1">
      <c r="A323" s="11" t="s">
        <v>88</v>
      </c>
      <c r="B323" s="11" t="s">
        <v>90</v>
      </c>
      <c r="C323" s="11" t="s">
        <v>88</v>
      </c>
      <c r="D323" s="11">
        <v>113.091645</v>
      </c>
      <c r="E323" s="11">
        <v>30.0</v>
      </c>
      <c r="F323" s="11">
        <v>30.0</v>
      </c>
    </row>
    <row r="324" ht="15.75" customHeight="1">
      <c r="A324" s="11" t="s">
        <v>89</v>
      </c>
      <c r="B324" s="11" t="s">
        <v>90</v>
      </c>
      <c r="C324" s="11" t="s">
        <v>89</v>
      </c>
      <c r="D324" s="11">
        <v>263.908355</v>
      </c>
      <c r="E324" s="11">
        <v>70.0</v>
      </c>
      <c r="F324" s="11">
        <v>100.0</v>
      </c>
    </row>
    <row r="325" ht="15.75" customHeight="1"/>
    <row r="326" ht="15.75" customHeight="1">
      <c r="C326" s="11" t="s">
        <v>32</v>
      </c>
      <c r="D326" s="11">
        <v>377.0</v>
      </c>
      <c r="E326" s="11">
        <v>100.0</v>
      </c>
    </row>
    <row r="327" ht="15.75" customHeight="1"/>
    <row r="328" ht="15.75" customHeight="1">
      <c r="A328" s="32" t="s">
        <v>78</v>
      </c>
      <c r="B328" s="11">
        <v>55.0</v>
      </c>
    </row>
    <row r="329" ht="15.75" customHeight="1"/>
    <row r="330" ht="15.75" customHeight="1">
      <c r="C330" s="11" t="s">
        <v>86</v>
      </c>
      <c r="D330" s="11" t="s">
        <v>23</v>
      </c>
      <c r="E330" s="11" t="s">
        <v>24</v>
      </c>
      <c r="F330" s="11" t="s">
        <v>25</v>
      </c>
    </row>
    <row r="331" ht="15.75" customHeight="1"/>
    <row r="332" ht="15.75" customHeight="1">
      <c r="A332" s="11" t="s">
        <v>88</v>
      </c>
      <c r="B332" s="11" t="s">
        <v>90</v>
      </c>
      <c r="C332" s="11" t="s">
        <v>88</v>
      </c>
      <c r="D332" s="11">
        <v>95.7881722</v>
      </c>
      <c r="E332" s="11">
        <v>31.41</v>
      </c>
      <c r="F332" s="11">
        <v>31.41</v>
      </c>
    </row>
    <row r="333" ht="15.75" customHeight="1">
      <c r="A333" s="11" t="s">
        <v>89</v>
      </c>
      <c r="B333" s="11" t="s">
        <v>90</v>
      </c>
      <c r="C333" s="11" t="s">
        <v>89</v>
      </c>
      <c r="D333" s="11">
        <v>209.211828</v>
      </c>
      <c r="E333" s="11">
        <v>68.59</v>
      </c>
      <c r="F333" s="11">
        <v>100.0</v>
      </c>
    </row>
    <row r="334" ht="15.75" customHeight="1"/>
    <row r="335" ht="15.75" customHeight="1">
      <c r="C335" s="11" t="s">
        <v>32</v>
      </c>
      <c r="D335" s="11">
        <v>305.0</v>
      </c>
      <c r="E335" s="11">
        <v>100.0</v>
      </c>
    </row>
    <row r="336" ht="15.75" customHeight="1"/>
    <row r="337" ht="15.75" customHeight="1">
      <c r="A337" s="32" t="s">
        <v>79</v>
      </c>
      <c r="B337" s="11">
        <v>65.0</v>
      </c>
    </row>
    <row r="338" ht="15.75" customHeight="1"/>
    <row r="339" ht="15.75" customHeight="1">
      <c r="C339" s="11" t="s">
        <v>86</v>
      </c>
      <c r="D339" s="11" t="s">
        <v>23</v>
      </c>
      <c r="E339" s="11" t="s">
        <v>24</v>
      </c>
      <c r="F339" s="11" t="s">
        <v>25</v>
      </c>
    </row>
    <row r="340" ht="15.75" customHeight="1"/>
    <row r="341" ht="15.75" customHeight="1">
      <c r="A341" s="11" t="s">
        <v>88</v>
      </c>
      <c r="B341" s="11" t="s">
        <v>90</v>
      </c>
      <c r="C341" s="11" t="s">
        <v>88</v>
      </c>
      <c r="D341" s="11">
        <v>122.382547</v>
      </c>
      <c r="E341" s="11">
        <v>35.07</v>
      </c>
      <c r="F341" s="11">
        <v>35.07</v>
      </c>
    </row>
    <row r="342" ht="15.75" customHeight="1">
      <c r="A342" s="11" t="s">
        <v>89</v>
      </c>
      <c r="B342" s="11" t="s">
        <v>90</v>
      </c>
      <c r="C342" s="11" t="s">
        <v>89</v>
      </c>
      <c r="D342" s="11">
        <v>226.617453</v>
      </c>
      <c r="E342" s="11">
        <v>64.93</v>
      </c>
      <c r="F342" s="11">
        <v>100.0</v>
      </c>
    </row>
    <row r="343" ht="15.75" customHeight="1"/>
    <row r="344" ht="15.75" customHeight="1">
      <c r="C344" s="11" t="s">
        <v>32</v>
      </c>
      <c r="D344" s="11">
        <v>349.0</v>
      </c>
      <c r="E344" s="11">
        <v>100.0</v>
      </c>
    </row>
    <row r="345" ht="15.75" customHeight="1"/>
    <row r="346" ht="15.75" customHeight="1"/>
    <row r="347" ht="15.75" customHeight="1">
      <c r="A347" s="32" t="s">
        <v>80</v>
      </c>
      <c r="B347" s="11">
        <v>75.0</v>
      </c>
    </row>
    <row r="348" ht="15.75" customHeight="1"/>
    <row r="349" ht="15.75" customHeight="1">
      <c r="C349" s="11" t="s">
        <v>86</v>
      </c>
      <c r="D349" s="11" t="s">
        <v>23</v>
      </c>
      <c r="E349" s="11" t="s">
        <v>24</v>
      </c>
      <c r="F349" s="11" t="s">
        <v>25</v>
      </c>
    </row>
    <row r="350" ht="15.75" customHeight="1"/>
    <row r="351" ht="15.75" customHeight="1">
      <c r="A351" s="11" t="s">
        <v>88</v>
      </c>
      <c r="B351" s="11" t="s">
        <v>90</v>
      </c>
      <c r="C351" s="11" t="s">
        <v>88</v>
      </c>
      <c r="D351" s="11">
        <v>137.917821</v>
      </c>
      <c r="E351" s="11">
        <v>36.58</v>
      </c>
      <c r="F351" s="11">
        <v>36.58</v>
      </c>
    </row>
    <row r="352" ht="15.75" customHeight="1">
      <c r="A352" s="11" t="s">
        <v>89</v>
      </c>
      <c r="B352" s="11" t="s">
        <v>90</v>
      </c>
      <c r="C352" s="11" t="s">
        <v>89</v>
      </c>
      <c r="D352" s="11">
        <v>239.082179</v>
      </c>
      <c r="E352" s="11">
        <v>63.42</v>
      </c>
      <c r="F352" s="11">
        <v>100.0</v>
      </c>
    </row>
    <row r="353" ht="15.75" customHeight="1"/>
    <row r="354" ht="15.75" customHeight="1">
      <c r="C354" s="11" t="s">
        <v>32</v>
      </c>
      <c r="D354" s="11">
        <v>377.0</v>
      </c>
      <c r="E354" s="11">
        <v>100.0</v>
      </c>
    </row>
    <row r="355" ht="15.75" customHeight="1"/>
    <row r="356" ht="15.75" customHeight="1">
      <c r="A356" s="32" t="s">
        <v>81</v>
      </c>
    </row>
    <row r="357" ht="15.75" customHeight="1"/>
    <row r="358" ht="15.75" customHeight="1">
      <c r="C358" s="11" t="s">
        <v>86</v>
      </c>
      <c r="D358" s="11" t="s">
        <v>23</v>
      </c>
      <c r="E358" s="11" t="s">
        <v>24</v>
      </c>
      <c r="F358" s="11" t="s">
        <v>25</v>
      </c>
    </row>
    <row r="359" ht="15.75" customHeight="1"/>
    <row r="360" ht="15.75" customHeight="1">
      <c r="A360" s="11" t="s">
        <v>88</v>
      </c>
      <c r="B360" s="11" t="s">
        <v>90</v>
      </c>
      <c r="C360" s="11" t="s">
        <v>88</v>
      </c>
      <c r="D360" s="11">
        <v>130.899088</v>
      </c>
      <c r="E360" s="11">
        <v>55.47</v>
      </c>
      <c r="F360" s="11">
        <v>55.47</v>
      </c>
    </row>
    <row r="361" ht="15.75" customHeight="1">
      <c r="A361" s="11" t="s">
        <v>89</v>
      </c>
      <c r="B361" s="11" t="s">
        <v>90</v>
      </c>
      <c r="C361" s="11" t="s">
        <v>89</v>
      </c>
      <c r="D361" s="11">
        <v>105.100912</v>
      </c>
      <c r="E361" s="11">
        <v>44.53</v>
      </c>
      <c r="F361" s="11">
        <v>100.0</v>
      </c>
    </row>
    <row r="362" ht="15.75" customHeight="1"/>
    <row r="363" ht="15.75" customHeight="1">
      <c r="C363" s="11" t="s">
        <v>32</v>
      </c>
      <c r="D363" s="11">
        <v>236.0</v>
      </c>
      <c r="E363" s="11">
        <v>100.0</v>
      </c>
    </row>
    <row r="364" ht="15.75" customHeight="1">
      <c r="A364" s="14" t="s">
        <v>7</v>
      </c>
      <c r="B364" s="15"/>
      <c r="C364" s="15"/>
      <c r="D364" s="16"/>
    </row>
    <row r="365" ht="15.75" customHeight="1">
      <c r="A365" s="33" t="s">
        <v>91</v>
      </c>
      <c r="B365" s="15"/>
      <c r="C365" s="15"/>
      <c r="D365" s="15"/>
      <c r="E365" s="16"/>
    </row>
    <row r="366" ht="15.75" customHeight="1">
      <c r="A366" s="22" t="s">
        <v>84</v>
      </c>
      <c r="B366" s="11" t="s">
        <v>92</v>
      </c>
    </row>
    <row r="367" ht="15.75" customHeight="1"/>
    <row r="368" ht="15.75" customHeight="1">
      <c r="A368" s="11" t="s">
        <v>47</v>
      </c>
      <c r="B368" s="11" t="s">
        <v>23</v>
      </c>
      <c r="C368" s="11" t="s">
        <v>24</v>
      </c>
      <c r="D368" s="11" t="s">
        <v>25</v>
      </c>
    </row>
    <row r="369" ht="15.75" customHeight="1"/>
    <row r="370" ht="15.75" customHeight="1">
      <c r="A370" s="11" t="s">
        <v>46</v>
      </c>
      <c r="B370" s="11">
        <v>86.0597771</v>
      </c>
      <c r="C370" s="11">
        <v>61.91</v>
      </c>
      <c r="D370" s="11">
        <v>61.91</v>
      </c>
    </row>
    <row r="371" ht="15.75" customHeight="1">
      <c r="A371" s="11" t="s">
        <v>50</v>
      </c>
      <c r="B371" s="11">
        <v>41.6371067</v>
      </c>
      <c r="C371" s="11">
        <v>29.95</v>
      </c>
      <c r="D371" s="11">
        <v>91.87</v>
      </c>
    </row>
    <row r="372" ht="15.75" customHeight="1">
      <c r="A372" s="11" t="s">
        <v>48</v>
      </c>
      <c r="B372" s="11">
        <v>11.3031162</v>
      </c>
      <c r="C372" s="11">
        <v>8.13</v>
      </c>
      <c r="D372" s="11">
        <v>100.0</v>
      </c>
    </row>
    <row r="373" ht="15.75" customHeight="1"/>
    <row r="374" ht="15.75" customHeight="1">
      <c r="A374" s="11" t="s">
        <v>32</v>
      </c>
      <c r="B374" s="11">
        <v>139.0</v>
      </c>
      <c r="C374" s="11">
        <v>100.0</v>
      </c>
    </row>
    <row r="375" ht="15.75" customHeight="1"/>
    <row r="376" ht="15.75" customHeight="1">
      <c r="A376" s="32" t="s">
        <v>76</v>
      </c>
    </row>
    <row r="377" ht="15.75" customHeight="1"/>
    <row r="378" ht="15.75" customHeight="1">
      <c r="A378" s="11" t="s">
        <v>47</v>
      </c>
      <c r="B378" s="11" t="s">
        <v>23</v>
      </c>
      <c r="C378" s="11" t="s">
        <v>24</v>
      </c>
      <c r="D378" s="11" t="s">
        <v>25</v>
      </c>
    </row>
    <row r="379" ht="15.75" customHeight="1"/>
    <row r="380" ht="15.75" customHeight="1">
      <c r="A380" s="11" t="s">
        <v>46</v>
      </c>
      <c r="B380" s="11">
        <v>103.205924</v>
      </c>
      <c r="C380" s="11">
        <v>49.62</v>
      </c>
      <c r="D380" s="11">
        <v>49.62</v>
      </c>
    </row>
    <row r="381" ht="15.75" customHeight="1">
      <c r="A381" s="11" t="s">
        <v>50</v>
      </c>
      <c r="B381" s="11">
        <v>82.3541668</v>
      </c>
      <c r="C381" s="11">
        <v>39.59</v>
      </c>
      <c r="D381" s="11">
        <v>89.21</v>
      </c>
    </row>
    <row r="382" ht="15.75" customHeight="1">
      <c r="A382" s="11" t="s">
        <v>48</v>
      </c>
      <c r="B382" s="11">
        <v>22.4399091</v>
      </c>
      <c r="C382" s="11">
        <v>10.79</v>
      </c>
      <c r="D382" s="11">
        <v>100.0</v>
      </c>
    </row>
    <row r="383" ht="15.75" customHeight="1"/>
    <row r="384" ht="15.75" customHeight="1">
      <c r="A384" s="11" t="s">
        <v>32</v>
      </c>
      <c r="B384" s="11">
        <v>208.0</v>
      </c>
      <c r="C384" s="11">
        <v>100.0</v>
      </c>
    </row>
    <row r="385" ht="15.75" customHeight="1"/>
    <row r="386" ht="15.75" customHeight="1">
      <c r="A386" s="32" t="s">
        <v>77</v>
      </c>
    </row>
    <row r="387" ht="15.75" customHeight="1"/>
    <row r="388" ht="15.75" customHeight="1">
      <c r="A388" s="11" t="s">
        <v>47</v>
      </c>
      <c r="B388" s="11" t="s">
        <v>23</v>
      </c>
      <c r="C388" s="11" t="s">
        <v>24</v>
      </c>
      <c r="D388" s="11" t="s">
        <v>25</v>
      </c>
    </row>
    <row r="389" ht="15.75" customHeight="1"/>
    <row r="390" ht="15.75" customHeight="1">
      <c r="A390" s="11" t="s">
        <v>46</v>
      </c>
      <c r="B390" s="11">
        <v>159.9297548</v>
      </c>
      <c r="C390" s="11">
        <v>42.2</v>
      </c>
      <c r="D390" s="11">
        <v>42.2</v>
      </c>
    </row>
    <row r="391" ht="15.75" customHeight="1">
      <c r="A391" s="11" t="s">
        <v>50</v>
      </c>
      <c r="B391" s="11">
        <v>176.324782</v>
      </c>
      <c r="C391" s="11">
        <v>46.52</v>
      </c>
      <c r="D391" s="11">
        <v>88.72</v>
      </c>
    </row>
    <row r="392" ht="15.75" customHeight="1">
      <c r="A392" s="11" t="s">
        <v>48</v>
      </c>
      <c r="B392" s="11">
        <v>42.7454633</v>
      </c>
      <c r="C392" s="11">
        <v>11.28</v>
      </c>
      <c r="D392" s="11">
        <v>100.0</v>
      </c>
    </row>
    <row r="393" ht="15.75" customHeight="1"/>
    <row r="394" ht="15.75" customHeight="1">
      <c r="A394" s="11" t="s">
        <v>32</v>
      </c>
      <c r="B394" s="11">
        <v>379.0</v>
      </c>
      <c r="C394" s="11">
        <v>100.0</v>
      </c>
    </row>
    <row r="395" ht="15.75" customHeight="1"/>
    <row r="396" ht="15.75" customHeight="1">
      <c r="A396" s="32" t="s">
        <v>78</v>
      </c>
    </row>
    <row r="397" ht="15.75" customHeight="1"/>
    <row r="398" ht="15.75" customHeight="1">
      <c r="A398" s="11" t="s">
        <v>47</v>
      </c>
      <c r="B398" s="11" t="s">
        <v>23</v>
      </c>
      <c r="C398" s="11" t="s">
        <v>24</v>
      </c>
      <c r="D398" s="11" t="s">
        <v>25</v>
      </c>
    </row>
    <row r="399" ht="15.75" customHeight="1"/>
    <row r="400" ht="15.75" customHeight="1">
      <c r="A400" s="11" t="s">
        <v>46</v>
      </c>
      <c r="B400" s="11">
        <v>108.615321</v>
      </c>
      <c r="C400" s="11">
        <v>35.5</v>
      </c>
      <c r="D400" s="11">
        <v>35.5</v>
      </c>
    </row>
    <row r="401" ht="15.75" customHeight="1">
      <c r="A401" s="11" t="s">
        <v>50</v>
      </c>
      <c r="B401" s="11">
        <v>143.556913</v>
      </c>
      <c r="C401" s="11">
        <v>46.91</v>
      </c>
      <c r="D401" s="11">
        <v>82.41</v>
      </c>
    </row>
    <row r="402" ht="15.75" customHeight="1">
      <c r="A402" s="11" t="s">
        <v>48</v>
      </c>
      <c r="B402" s="11">
        <v>53.8277667</v>
      </c>
      <c r="C402" s="11">
        <v>17.59</v>
      </c>
      <c r="D402" s="11">
        <v>100.0</v>
      </c>
    </row>
    <row r="403" ht="15.75" customHeight="1"/>
    <row r="404" ht="15.75" customHeight="1">
      <c r="A404" s="11" t="s">
        <v>32</v>
      </c>
      <c r="B404" s="11">
        <v>306.0</v>
      </c>
      <c r="C404" s="11">
        <v>100.0</v>
      </c>
    </row>
    <row r="405" ht="15.75" customHeight="1"/>
    <row r="406" ht="15.75" customHeight="1">
      <c r="A406" s="32" t="s">
        <v>79</v>
      </c>
    </row>
    <row r="407" ht="15.75" customHeight="1"/>
    <row r="408" ht="15.75" customHeight="1">
      <c r="A408" s="11" t="s">
        <v>47</v>
      </c>
      <c r="B408" s="11" t="s">
        <v>23</v>
      </c>
      <c r="C408" s="11" t="s">
        <v>24</v>
      </c>
      <c r="D408" s="11" t="s">
        <v>25</v>
      </c>
    </row>
    <row r="409" ht="15.75" customHeight="1"/>
    <row r="410" ht="15.75" customHeight="1">
      <c r="A410" s="11" t="s">
        <v>46</v>
      </c>
      <c r="B410" s="11">
        <v>98.77336724</v>
      </c>
      <c r="C410" s="11">
        <v>28.3</v>
      </c>
      <c r="D410" s="11">
        <v>28.3</v>
      </c>
    </row>
    <row r="411" ht="15.75" customHeight="1">
      <c r="A411" s="11" t="s">
        <v>50</v>
      </c>
      <c r="B411" s="11">
        <v>176.090508</v>
      </c>
      <c r="C411" s="11">
        <v>50.46</v>
      </c>
      <c r="D411" s="11">
        <v>78.76</v>
      </c>
    </row>
    <row r="412" ht="15.75" customHeight="1">
      <c r="A412" s="11" t="s">
        <v>48</v>
      </c>
      <c r="B412" s="11">
        <v>74.1361249</v>
      </c>
      <c r="C412" s="11">
        <v>21.24</v>
      </c>
      <c r="D412" s="11">
        <v>100.0</v>
      </c>
    </row>
    <row r="413" ht="15.75" customHeight="1"/>
    <row r="414" ht="15.75" customHeight="1">
      <c r="A414" s="11" t="s">
        <v>32</v>
      </c>
      <c r="B414" s="11">
        <v>349.0</v>
      </c>
      <c r="C414" s="11">
        <v>100.0</v>
      </c>
    </row>
    <row r="415" ht="15.75" customHeight="1"/>
    <row r="416" ht="15.75" customHeight="1">
      <c r="A416" s="32" t="s">
        <v>80</v>
      </c>
    </row>
    <row r="417" ht="15.75" customHeight="1"/>
    <row r="418" ht="15.75" customHeight="1">
      <c r="A418" s="11" t="s">
        <v>47</v>
      </c>
      <c r="B418" s="11" t="s">
        <v>23</v>
      </c>
      <c r="C418" s="11" t="s">
        <v>24</v>
      </c>
      <c r="D418" s="11" t="s">
        <v>25</v>
      </c>
    </row>
    <row r="419" ht="15.75" customHeight="1"/>
    <row r="420" ht="15.75" customHeight="1">
      <c r="A420" s="11" t="s">
        <v>46</v>
      </c>
      <c r="B420" s="11">
        <v>96.1275822</v>
      </c>
      <c r="C420" s="11">
        <v>25.43</v>
      </c>
      <c r="D420" s="11">
        <v>25.43</v>
      </c>
    </row>
    <row r="421" ht="15.75" customHeight="1">
      <c r="A421" s="11" t="s">
        <v>50</v>
      </c>
      <c r="B421" s="11">
        <v>176.280857</v>
      </c>
      <c r="C421" s="11">
        <v>46.64</v>
      </c>
      <c r="D421" s="11">
        <v>72.07</v>
      </c>
    </row>
    <row r="422" ht="15.75" customHeight="1">
      <c r="A422" s="11" t="s">
        <v>48</v>
      </c>
      <c r="B422" s="11">
        <v>105.591561</v>
      </c>
      <c r="C422" s="11">
        <v>27.93</v>
      </c>
      <c r="D422" s="11">
        <v>100.0</v>
      </c>
    </row>
    <row r="423" ht="15.75" customHeight="1"/>
    <row r="424" ht="15.75" customHeight="1">
      <c r="A424" s="11" t="s">
        <v>32</v>
      </c>
      <c r="B424" s="11">
        <v>378.0</v>
      </c>
      <c r="C424" s="11">
        <v>100.0</v>
      </c>
    </row>
    <row r="425" ht="15.75" customHeight="1"/>
    <row r="426" ht="15.75" customHeight="1">
      <c r="A426" s="32" t="s">
        <v>81</v>
      </c>
    </row>
    <row r="427" ht="15.75" customHeight="1"/>
    <row r="428" ht="15.75" customHeight="1">
      <c r="A428" s="11" t="s">
        <v>47</v>
      </c>
      <c r="B428" s="11" t="s">
        <v>23</v>
      </c>
      <c r="C428" s="11" t="s">
        <v>24</v>
      </c>
      <c r="D428" s="11" t="s">
        <v>25</v>
      </c>
    </row>
    <row r="429" ht="15.75" customHeight="1"/>
    <row r="430" ht="15.75" customHeight="1">
      <c r="A430" s="11" t="s">
        <v>46</v>
      </c>
      <c r="B430" s="11">
        <v>41.2814768</v>
      </c>
      <c r="C430" s="11">
        <v>17.49</v>
      </c>
      <c r="D430" s="11">
        <v>17.49</v>
      </c>
    </row>
    <row r="431" ht="15.75" customHeight="1">
      <c r="A431" s="11" t="s">
        <v>50</v>
      </c>
      <c r="B431" s="11">
        <v>106.265563</v>
      </c>
      <c r="C431" s="11">
        <v>45.03</v>
      </c>
      <c r="D431" s="11">
        <v>62.52</v>
      </c>
    </row>
    <row r="432" ht="15.75" customHeight="1">
      <c r="A432" s="11" t="s">
        <v>48</v>
      </c>
      <c r="B432" s="11">
        <v>88.45296</v>
      </c>
      <c r="C432" s="11">
        <v>37.48</v>
      </c>
      <c r="D432" s="11">
        <v>100.0</v>
      </c>
    </row>
    <row r="433" ht="15.75" customHeight="1"/>
    <row r="434" ht="15.75" customHeight="1">
      <c r="A434" s="11" t="s">
        <v>32</v>
      </c>
      <c r="B434" s="11">
        <v>236.0</v>
      </c>
      <c r="C434" s="11">
        <v>100.0</v>
      </c>
    </row>
    <row r="435" ht="15.75" customHeight="1"/>
    <row r="436" ht="15.75" customHeight="1"/>
    <row r="437" ht="15.75" customHeight="1"/>
    <row r="438" ht="15.75" customHeight="1">
      <c r="A438" s="14" t="s">
        <v>7</v>
      </c>
      <c r="B438" s="15"/>
      <c r="C438" s="15"/>
      <c r="D438" s="16"/>
    </row>
    <row r="439" ht="16.5" customHeight="1">
      <c r="A439" s="31" t="s">
        <v>93</v>
      </c>
      <c r="B439" s="15"/>
      <c r="C439" s="15"/>
      <c r="D439" s="15"/>
      <c r="E439" s="16"/>
      <c r="F439" s="8" t="s">
        <v>67</v>
      </c>
      <c r="G439" s="8" t="s">
        <v>68</v>
      </c>
      <c r="H439" s="8">
        <v>2.0</v>
      </c>
      <c r="I439" s="8">
        <v>3.0</v>
      </c>
      <c r="J439" s="8">
        <v>4.0</v>
      </c>
      <c r="K439" s="8">
        <v>5.0</v>
      </c>
      <c r="L439" s="8">
        <v>6.0</v>
      </c>
      <c r="M439" s="8">
        <v>7.0</v>
      </c>
      <c r="N439" s="8">
        <v>8.0</v>
      </c>
      <c r="O439" s="8">
        <v>9.0</v>
      </c>
      <c r="P439" s="8" t="s">
        <v>69</v>
      </c>
    </row>
    <row r="440" ht="15.75" customHeight="1">
      <c r="A440" s="22" t="s">
        <v>68</v>
      </c>
      <c r="F440" s="8" t="s">
        <v>93</v>
      </c>
      <c r="G440" s="21">
        <f>C445</f>
        <v>60.19</v>
      </c>
      <c r="H440" s="21">
        <f>C455</f>
        <v>75.7</v>
      </c>
      <c r="I440" s="21">
        <f>C465</f>
        <v>77.96</v>
      </c>
      <c r="J440" s="21">
        <f>C475</f>
        <v>85.06</v>
      </c>
      <c r="K440" s="21">
        <f>C485</f>
        <v>83.99</v>
      </c>
      <c r="L440" s="21">
        <f>C495</f>
        <v>83.82</v>
      </c>
      <c r="M440" s="21">
        <f>C505</f>
        <v>85.18</v>
      </c>
      <c r="N440" s="21">
        <f>C515</f>
        <v>92.62</v>
      </c>
      <c r="O440" s="21">
        <f>C525</f>
        <v>87.1</v>
      </c>
      <c r="P440" s="21">
        <f>C535</f>
        <v>85.65</v>
      </c>
    </row>
    <row r="441" ht="15.75" customHeight="1">
      <c r="F441" s="8" t="s">
        <v>94</v>
      </c>
      <c r="G441" s="21">
        <f>C543</f>
        <v>79.92</v>
      </c>
      <c r="H441" s="21">
        <f>C553</f>
        <v>88.67</v>
      </c>
      <c r="I441" s="21">
        <f>C563</f>
        <v>87.77</v>
      </c>
      <c r="J441" s="21">
        <f>C573</f>
        <v>92.17</v>
      </c>
      <c r="K441" s="21">
        <f>C583</f>
        <v>88.41</v>
      </c>
      <c r="L441" s="21">
        <f>C593</f>
        <v>92.95</v>
      </c>
      <c r="M441" s="21">
        <f>C603</f>
        <v>93.91</v>
      </c>
      <c r="N441" s="21">
        <f>C613</f>
        <v>93.61</v>
      </c>
      <c r="O441" s="21">
        <f>C623</f>
        <v>100</v>
      </c>
      <c r="P441" s="21">
        <f>C633</f>
        <v>95.31</v>
      </c>
    </row>
    <row r="442" ht="15.75" customHeight="1">
      <c r="A442" s="11" t="s">
        <v>72</v>
      </c>
      <c r="B442" s="11" t="s">
        <v>23</v>
      </c>
      <c r="C442" s="11" t="s">
        <v>24</v>
      </c>
      <c r="D442" s="11" t="s">
        <v>25</v>
      </c>
    </row>
    <row r="443" ht="15.75" customHeight="1"/>
    <row r="444" ht="15.75" customHeight="1">
      <c r="A444" s="11" t="s">
        <v>74</v>
      </c>
      <c r="B444" s="11">
        <v>83.6071855</v>
      </c>
      <c r="C444" s="11">
        <v>39.81</v>
      </c>
      <c r="D444" s="11">
        <v>39.81</v>
      </c>
      <c r="F444" s="25" t="s">
        <v>95</v>
      </c>
    </row>
    <row r="445" ht="15.75" customHeight="1">
      <c r="A445" s="11" t="s">
        <v>50</v>
      </c>
      <c r="B445" s="11">
        <v>126.392814</v>
      </c>
      <c r="C445" s="11">
        <v>60.19</v>
      </c>
      <c r="D445" s="11">
        <v>100.0</v>
      </c>
    </row>
    <row r="446" ht="15.75" customHeight="1"/>
    <row r="447" ht="15.75" customHeight="1">
      <c r="A447" s="11" t="s">
        <v>32</v>
      </c>
      <c r="B447" s="11">
        <v>210.0</v>
      </c>
      <c r="C447" s="11">
        <v>100.0</v>
      </c>
    </row>
    <row r="448" ht="15.75" customHeight="1"/>
    <row r="449" ht="15.75" customHeight="1"/>
    <row r="450" ht="15.75" customHeight="1">
      <c r="A450" s="32">
        <v>2.0</v>
      </c>
    </row>
    <row r="451" ht="15.75" customHeight="1"/>
    <row r="452" ht="15.75" customHeight="1">
      <c r="A452" s="11" t="s">
        <v>72</v>
      </c>
      <c r="B452" s="11" t="s">
        <v>23</v>
      </c>
      <c r="C452" s="11" t="s">
        <v>24</v>
      </c>
      <c r="D452" s="11" t="s">
        <v>25</v>
      </c>
    </row>
    <row r="453" ht="15.75" customHeight="1"/>
    <row r="454" ht="15.75" customHeight="1">
      <c r="A454" s="11" t="s">
        <v>74</v>
      </c>
      <c r="B454" s="11">
        <v>55.4109514</v>
      </c>
      <c r="C454" s="11">
        <v>24.3</v>
      </c>
      <c r="D454" s="11">
        <v>24.3</v>
      </c>
    </row>
    <row r="455" ht="15.75" customHeight="1">
      <c r="A455" s="11" t="s">
        <v>50</v>
      </c>
      <c r="B455" s="11">
        <v>172.589049</v>
      </c>
      <c r="C455" s="11">
        <v>75.7</v>
      </c>
      <c r="D455" s="11">
        <v>100.0</v>
      </c>
    </row>
    <row r="456" ht="15.75" customHeight="1"/>
    <row r="457" ht="15.75" customHeight="1">
      <c r="A457" s="11" t="s">
        <v>32</v>
      </c>
      <c r="B457" s="11">
        <v>228.0</v>
      </c>
      <c r="C457" s="11">
        <v>100.0</v>
      </c>
    </row>
    <row r="458" ht="15.75" customHeight="1"/>
    <row r="459" ht="15.75" customHeight="1"/>
    <row r="460" ht="15.75" customHeight="1">
      <c r="A460" s="32">
        <v>3.0</v>
      </c>
    </row>
    <row r="461" ht="15.75" customHeight="1"/>
    <row r="462" ht="15.75" customHeight="1">
      <c r="A462" s="11" t="s">
        <v>72</v>
      </c>
      <c r="B462" s="11" t="s">
        <v>23</v>
      </c>
      <c r="C462" s="11" t="s">
        <v>24</v>
      </c>
      <c r="D462" s="11" t="s">
        <v>25</v>
      </c>
    </row>
    <row r="463" ht="15.75" customHeight="1"/>
    <row r="464" ht="15.75" customHeight="1">
      <c r="A464" s="11" t="s">
        <v>74</v>
      </c>
      <c r="B464" s="11">
        <v>50.4670897</v>
      </c>
      <c r="C464" s="11">
        <v>22.04</v>
      </c>
      <c r="D464" s="11">
        <v>22.04</v>
      </c>
    </row>
    <row r="465" ht="15.75" customHeight="1">
      <c r="A465" s="11" t="s">
        <v>50</v>
      </c>
      <c r="B465" s="11">
        <v>178.53291</v>
      </c>
      <c r="C465" s="11">
        <v>77.96</v>
      </c>
      <c r="D465" s="11">
        <v>100.0</v>
      </c>
    </row>
    <row r="466" ht="15.75" customHeight="1"/>
    <row r="467" ht="15.75" customHeight="1">
      <c r="A467" s="11" t="s">
        <v>32</v>
      </c>
      <c r="B467" s="11">
        <v>229.0</v>
      </c>
      <c r="C467" s="11">
        <v>100.0</v>
      </c>
    </row>
    <row r="468" ht="15.75" customHeight="1"/>
    <row r="469" ht="15.75" customHeight="1"/>
    <row r="470" ht="15.75" customHeight="1">
      <c r="A470" s="32">
        <v>4.0</v>
      </c>
    </row>
    <row r="471" ht="15.75" customHeight="1"/>
    <row r="472" ht="15.75" customHeight="1">
      <c r="A472" s="11" t="s">
        <v>72</v>
      </c>
      <c r="B472" s="11" t="s">
        <v>23</v>
      </c>
      <c r="C472" s="11" t="s">
        <v>24</v>
      </c>
      <c r="D472" s="11" t="s">
        <v>25</v>
      </c>
    </row>
    <row r="473" ht="15.75" customHeight="1"/>
    <row r="474" ht="15.75" customHeight="1">
      <c r="A474" s="11" t="s">
        <v>74</v>
      </c>
      <c r="B474" s="11">
        <v>28.8288187</v>
      </c>
      <c r="C474" s="11">
        <v>14.94</v>
      </c>
      <c r="D474" s="11">
        <v>14.94</v>
      </c>
    </row>
    <row r="475" ht="15.75" customHeight="1">
      <c r="A475" s="11" t="s">
        <v>50</v>
      </c>
      <c r="B475" s="11">
        <v>164.171181</v>
      </c>
      <c r="C475" s="11">
        <v>85.06</v>
      </c>
      <c r="D475" s="11">
        <v>100.0</v>
      </c>
    </row>
    <row r="476" ht="15.75" customHeight="1"/>
    <row r="477" ht="15.75" customHeight="1">
      <c r="A477" s="11" t="s">
        <v>32</v>
      </c>
      <c r="B477" s="11">
        <v>193.0</v>
      </c>
      <c r="C477" s="11">
        <v>100.0</v>
      </c>
    </row>
    <row r="478" ht="15.75" customHeight="1"/>
    <row r="479" ht="15.75" customHeight="1"/>
    <row r="480" ht="15.75" customHeight="1">
      <c r="A480" s="32">
        <v>5.0</v>
      </c>
    </row>
    <row r="481" ht="15.75" customHeight="1"/>
    <row r="482" ht="15.75" customHeight="1">
      <c r="A482" s="11" t="s">
        <v>72</v>
      </c>
      <c r="B482" s="11" t="s">
        <v>23</v>
      </c>
      <c r="C482" s="11" t="s">
        <v>24</v>
      </c>
      <c r="D482" s="11" t="s">
        <v>25</v>
      </c>
    </row>
    <row r="483" ht="15.75" customHeight="1"/>
    <row r="484" ht="15.75" customHeight="1">
      <c r="A484" s="11" t="s">
        <v>74</v>
      </c>
      <c r="B484" s="11">
        <v>27.86564</v>
      </c>
      <c r="C484" s="11">
        <v>16.01</v>
      </c>
      <c r="D484" s="11">
        <v>16.01</v>
      </c>
    </row>
    <row r="485" ht="15.75" customHeight="1">
      <c r="A485" s="11" t="s">
        <v>50</v>
      </c>
      <c r="B485" s="11">
        <v>146.13436</v>
      </c>
      <c r="C485" s="11">
        <v>83.99</v>
      </c>
      <c r="D485" s="11">
        <v>100.0</v>
      </c>
    </row>
    <row r="486" ht="15.75" customHeight="1"/>
    <row r="487" ht="15.75" customHeight="1">
      <c r="A487" s="11" t="s">
        <v>32</v>
      </c>
      <c r="B487" s="11">
        <v>174.0</v>
      </c>
      <c r="C487" s="11">
        <v>100.0</v>
      </c>
    </row>
    <row r="488" ht="15.75" customHeight="1"/>
    <row r="489" ht="15.75" customHeight="1"/>
    <row r="490" ht="15.75" customHeight="1">
      <c r="A490" s="32">
        <v>6.0</v>
      </c>
    </row>
    <row r="491" ht="15.75" customHeight="1"/>
    <row r="492" ht="15.75" customHeight="1">
      <c r="A492" s="11" t="s">
        <v>72</v>
      </c>
      <c r="B492" s="11" t="s">
        <v>23</v>
      </c>
      <c r="C492" s="11" t="s">
        <v>24</v>
      </c>
      <c r="D492" s="11" t="s">
        <v>25</v>
      </c>
    </row>
    <row r="493" ht="15.75" customHeight="1"/>
    <row r="494" ht="15.75" customHeight="1">
      <c r="A494" s="11" t="s">
        <v>74</v>
      </c>
      <c r="B494" s="11">
        <v>22.4842814</v>
      </c>
      <c r="C494" s="11">
        <v>16.18</v>
      </c>
      <c r="D494" s="11">
        <v>16.18</v>
      </c>
    </row>
    <row r="495" ht="15.75" customHeight="1">
      <c r="A495" s="11" t="s">
        <v>50</v>
      </c>
      <c r="B495" s="11">
        <v>116.5157186</v>
      </c>
      <c r="C495" s="11">
        <v>83.82</v>
      </c>
      <c r="D495" s="11">
        <v>100.0</v>
      </c>
    </row>
    <row r="496" ht="15.75" customHeight="1"/>
    <row r="497" ht="15.75" customHeight="1">
      <c r="A497" s="11" t="s">
        <v>32</v>
      </c>
      <c r="B497" s="11">
        <v>139.0</v>
      </c>
      <c r="C497" s="11">
        <v>100.0</v>
      </c>
    </row>
    <row r="498" ht="15.75" customHeight="1"/>
    <row r="499" ht="15.75" customHeight="1"/>
    <row r="500" ht="15.75" customHeight="1">
      <c r="A500" s="32">
        <v>7.0</v>
      </c>
    </row>
    <row r="501" ht="15.75" customHeight="1"/>
    <row r="502" ht="15.75" customHeight="1">
      <c r="A502" s="11" t="s">
        <v>72</v>
      </c>
      <c r="B502" s="11" t="s">
        <v>23</v>
      </c>
      <c r="C502" s="11" t="s">
        <v>24</v>
      </c>
      <c r="D502" s="11" t="s">
        <v>25</v>
      </c>
    </row>
    <row r="503" ht="15.75" customHeight="1"/>
    <row r="504" ht="15.75" customHeight="1">
      <c r="A504" s="11" t="s">
        <v>74</v>
      </c>
      <c r="B504" s="11">
        <v>16.5933014</v>
      </c>
      <c r="C504" s="11">
        <v>14.82</v>
      </c>
      <c r="D504" s="11">
        <v>14.82</v>
      </c>
    </row>
    <row r="505" ht="15.75" customHeight="1">
      <c r="A505" s="11" t="s">
        <v>50</v>
      </c>
      <c r="B505" s="11">
        <v>95.4066986</v>
      </c>
      <c r="C505" s="11">
        <v>85.18</v>
      </c>
      <c r="D505" s="11">
        <v>100.0</v>
      </c>
    </row>
    <row r="506" ht="15.75" customHeight="1"/>
    <row r="507" ht="15.75" customHeight="1">
      <c r="A507" s="11" t="s">
        <v>32</v>
      </c>
      <c r="B507" s="11">
        <v>112.0</v>
      </c>
      <c r="C507" s="11">
        <v>100.0</v>
      </c>
    </row>
    <row r="508" ht="15.75" customHeight="1"/>
    <row r="509" ht="15.75" customHeight="1"/>
    <row r="510" ht="15.75" customHeight="1">
      <c r="A510" s="32">
        <v>8.0</v>
      </c>
    </row>
    <row r="511" ht="15.75" customHeight="1"/>
    <row r="512" ht="15.75" customHeight="1">
      <c r="A512" s="11" t="s">
        <v>72</v>
      </c>
      <c r="B512" s="11" t="s">
        <v>23</v>
      </c>
      <c r="C512" s="11" t="s">
        <v>24</v>
      </c>
      <c r="D512" s="11" t="s">
        <v>25</v>
      </c>
    </row>
    <row r="513" ht="15.75" customHeight="1"/>
    <row r="514" ht="15.75" customHeight="1">
      <c r="A514" s="11" t="s">
        <v>74</v>
      </c>
      <c r="B514" s="11">
        <v>7.82518052</v>
      </c>
      <c r="C514" s="11">
        <v>7.38</v>
      </c>
      <c r="D514" s="11">
        <v>7.38</v>
      </c>
    </row>
    <row r="515" ht="15.75" customHeight="1">
      <c r="A515" s="11" t="s">
        <v>50</v>
      </c>
      <c r="B515" s="11">
        <v>98.1748195</v>
      </c>
      <c r="C515" s="11">
        <v>92.62</v>
      </c>
      <c r="D515" s="11">
        <v>100.0</v>
      </c>
    </row>
    <row r="516" ht="15.75" customHeight="1"/>
    <row r="517" ht="15.75" customHeight="1">
      <c r="A517" s="11" t="s">
        <v>32</v>
      </c>
      <c r="B517" s="11">
        <v>106.0</v>
      </c>
      <c r="C517" s="11">
        <v>100.0</v>
      </c>
    </row>
    <row r="518" ht="15.75" customHeight="1"/>
    <row r="519" ht="15.75" customHeight="1"/>
    <row r="520" ht="15.75" customHeight="1">
      <c r="A520" s="32">
        <v>9.0</v>
      </c>
    </row>
    <row r="521" ht="15.75" customHeight="1"/>
    <row r="522" ht="15.75" customHeight="1">
      <c r="A522" s="11" t="s">
        <v>72</v>
      </c>
      <c r="B522" s="11" t="s">
        <v>23</v>
      </c>
      <c r="C522" s="11" t="s">
        <v>24</v>
      </c>
      <c r="D522" s="11" t="s">
        <v>25</v>
      </c>
    </row>
    <row r="523" ht="15.75" customHeight="1"/>
    <row r="524" ht="15.75" customHeight="1">
      <c r="A524" s="11" t="s">
        <v>74</v>
      </c>
      <c r="B524" s="11">
        <v>8.25677696</v>
      </c>
      <c r="C524" s="11">
        <v>12.9</v>
      </c>
      <c r="D524" s="11">
        <v>12.9</v>
      </c>
    </row>
    <row r="525" ht="15.75" customHeight="1">
      <c r="A525" s="11" t="s">
        <v>50</v>
      </c>
      <c r="B525" s="11">
        <v>55.743223</v>
      </c>
      <c r="C525" s="11">
        <v>87.1</v>
      </c>
      <c r="D525" s="11">
        <v>100.0</v>
      </c>
    </row>
    <row r="526" ht="15.75" customHeight="1"/>
    <row r="527" ht="15.75" customHeight="1">
      <c r="A527" s="11" t="s">
        <v>32</v>
      </c>
      <c r="B527" s="11">
        <v>64.0</v>
      </c>
      <c r="C527" s="11">
        <v>100.0</v>
      </c>
    </row>
    <row r="528" ht="15.75" customHeight="1"/>
    <row r="529" ht="15.75" customHeight="1"/>
    <row r="530" ht="15.75" customHeight="1">
      <c r="A530" s="32" t="s">
        <v>69</v>
      </c>
    </row>
    <row r="531" ht="15.75" customHeight="1"/>
    <row r="532" ht="15.75" customHeight="1">
      <c r="A532" s="11" t="s">
        <v>72</v>
      </c>
      <c r="B532" s="11" t="s">
        <v>23</v>
      </c>
      <c r="C532" s="11" t="s">
        <v>24</v>
      </c>
      <c r="D532" s="11" t="s">
        <v>25</v>
      </c>
    </row>
    <row r="533" ht="15.75" customHeight="1"/>
    <row r="534" ht="15.75" customHeight="1">
      <c r="A534" s="11" t="s">
        <v>74</v>
      </c>
      <c r="B534" s="11">
        <v>12.343227</v>
      </c>
      <c r="C534" s="11">
        <v>14.35</v>
      </c>
      <c r="D534" s="11">
        <v>14.35</v>
      </c>
    </row>
    <row r="535" ht="15.75" customHeight="1">
      <c r="A535" s="11" t="s">
        <v>50</v>
      </c>
      <c r="B535" s="11">
        <v>73.656773</v>
      </c>
      <c r="C535" s="11">
        <v>85.65</v>
      </c>
      <c r="D535" s="11">
        <v>100.0</v>
      </c>
    </row>
    <row r="536" ht="15.75" customHeight="1"/>
    <row r="537" ht="15.75" customHeight="1">
      <c r="A537" s="11" t="s">
        <v>32</v>
      </c>
      <c r="B537" s="11">
        <v>86.0</v>
      </c>
      <c r="C537" s="11">
        <v>100.0</v>
      </c>
    </row>
    <row r="538" ht="15.75" customHeight="1"/>
    <row r="539" ht="15.75" customHeight="1">
      <c r="A539" s="31" t="s">
        <v>94</v>
      </c>
      <c r="B539" s="15"/>
      <c r="C539" s="15"/>
      <c r="D539" s="16"/>
    </row>
    <row r="540" ht="15.75" customHeight="1">
      <c r="A540" s="34" t="s">
        <v>68</v>
      </c>
      <c r="B540" s="35"/>
      <c r="C540" s="35"/>
      <c r="D540" s="35"/>
    </row>
    <row r="541" ht="15.75" customHeight="1">
      <c r="A541" s="11" t="s">
        <v>96</v>
      </c>
      <c r="B541" s="11" t="s">
        <v>23</v>
      </c>
      <c r="C541" s="11" t="s">
        <v>24</v>
      </c>
      <c r="D541" s="11" t="s">
        <v>25</v>
      </c>
    </row>
    <row r="542" ht="15.75" customHeight="1"/>
    <row r="543" ht="15.75" customHeight="1">
      <c r="A543" s="11" t="s">
        <v>94</v>
      </c>
      <c r="B543" s="11">
        <v>168.6374741</v>
      </c>
      <c r="C543" s="11">
        <v>79.92</v>
      </c>
      <c r="D543" s="11">
        <v>79.92</v>
      </c>
    </row>
    <row r="544" ht="15.75" customHeight="1">
      <c r="A544" s="11" t="s">
        <v>97</v>
      </c>
      <c r="B544" s="11">
        <v>42.3625259</v>
      </c>
      <c r="C544" s="11">
        <v>20.08</v>
      </c>
      <c r="D544" s="11">
        <v>100.0</v>
      </c>
    </row>
    <row r="545" ht="15.75" customHeight="1"/>
    <row r="546" ht="15.75" customHeight="1">
      <c r="A546" s="11" t="s">
        <v>32</v>
      </c>
      <c r="B546" s="11">
        <v>211.0</v>
      </c>
      <c r="C546" s="11">
        <v>100.0</v>
      </c>
    </row>
    <row r="547" ht="15.75" customHeight="1"/>
    <row r="548" ht="15.75" customHeight="1"/>
    <row r="549" ht="15.75" customHeight="1">
      <c r="A549" s="22">
        <v>2.0</v>
      </c>
    </row>
    <row r="550" ht="15.75" customHeight="1"/>
    <row r="551" ht="15.75" customHeight="1">
      <c r="A551" s="11" t="s">
        <v>96</v>
      </c>
      <c r="B551" s="11" t="s">
        <v>23</v>
      </c>
      <c r="C551" s="11" t="s">
        <v>24</v>
      </c>
      <c r="D551" s="11" t="s">
        <v>25</v>
      </c>
    </row>
    <row r="552" ht="15.75" customHeight="1"/>
    <row r="553" ht="15.75" customHeight="1">
      <c r="A553" s="11" t="s">
        <v>94</v>
      </c>
      <c r="B553" s="11">
        <v>202.176516</v>
      </c>
      <c r="C553" s="11">
        <v>88.67</v>
      </c>
      <c r="D553" s="11">
        <v>88.67</v>
      </c>
    </row>
    <row r="554" ht="15.75" customHeight="1">
      <c r="A554" s="11" t="s">
        <v>97</v>
      </c>
      <c r="B554" s="11">
        <v>25.8234841</v>
      </c>
      <c r="C554" s="11">
        <v>11.33</v>
      </c>
      <c r="D554" s="11">
        <v>100.0</v>
      </c>
    </row>
    <row r="555" ht="15.75" customHeight="1"/>
    <row r="556" ht="15.75" customHeight="1">
      <c r="A556" s="11" t="s">
        <v>32</v>
      </c>
      <c r="B556" s="11">
        <v>228.0</v>
      </c>
      <c r="C556" s="11">
        <v>100.0</v>
      </c>
    </row>
    <row r="557" ht="15.75" customHeight="1"/>
    <row r="558" ht="15.75" customHeight="1"/>
    <row r="559" ht="15.75" customHeight="1">
      <c r="A559" s="22">
        <v>3.0</v>
      </c>
    </row>
    <row r="560" ht="15.75" customHeight="1"/>
    <row r="561" ht="15.75" customHeight="1">
      <c r="A561" s="11" t="s">
        <v>96</v>
      </c>
      <c r="B561" s="11" t="s">
        <v>23</v>
      </c>
      <c r="C561" s="11" t="s">
        <v>24</v>
      </c>
      <c r="D561" s="11" t="s">
        <v>25</v>
      </c>
    </row>
    <row r="562" ht="15.75" customHeight="1"/>
    <row r="563" ht="15.75" customHeight="1">
      <c r="A563" s="11" t="s">
        <v>94</v>
      </c>
      <c r="B563" s="11">
        <v>200.995862</v>
      </c>
      <c r="C563" s="11">
        <v>87.77</v>
      </c>
      <c r="D563" s="11">
        <v>87.77</v>
      </c>
    </row>
    <row r="564" ht="15.75" customHeight="1">
      <c r="A564" s="11" t="s">
        <v>97</v>
      </c>
      <c r="B564" s="11">
        <v>28.00413821</v>
      </c>
      <c r="C564" s="11">
        <v>12.23</v>
      </c>
      <c r="D564" s="11">
        <v>100.0</v>
      </c>
    </row>
    <row r="565" ht="15.75" customHeight="1"/>
    <row r="566" ht="15.75" customHeight="1">
      <c r="A566" s="11" t="s">
        <v>32</v>
      </c>
      <c r="B566" s="11">
        <v>229.0</v>
      </c>
      <c r="C566" s="11">
        <v>100.0</v>
      </c>
    </row>
    <row r="567" ht="15.75" customHeight="1"/>
    <row r="568" ht="15.75" customHeight="1"/>
    <row r="569" ht="15.75" customHeight="1">
      <c r="A569" s="22">
        <v>4.0</v>
      </c>
    </row>
    <row r="570" ht="15.75" customHeight="1"/>
    <row r="571" ht="15.75" customHeight="1">
      <c r="A571" s="11" t="s">
        <v>96</v>
      </c>
      <c r="B571" s="11" t="s">
        <v>23</v>
      </c>
      <c r="C571" s="11" t="s">
        <v>24</v>
      </c>
      <c r="D571" s="11" t="s">
        <v>25</v>
      </c>
    </row>
    <row r="572" ht="15.75" customHeight="1"/>
    <row r="573" ht="15.75" customHeight="1">
      <c r="A573" s="11" t="s">
        <v>94</v>
      </c>
      <c r="B573" s="11">
        <v>177.879337</v>
      </c>
      <c r="C573" s="11">
        <v>92.17</v>
      </c>
      <c r="D573" s="11">
        <v>92.17</v>
      </c>
    </row>
    <row r="574" ht="15.75" customHeight="1">
      <c r="A574" s="11" t="s">
        <v>97</v>
      </c>
      <c r="B574" s="11">
        <v>15.1206625</v>
      </c>
      <c r="C574" s="11">
        <v>7.83</v>
      </c>
      <c r="D574" s="11">
        <v>100.0</v>
      </c>
    </row>
    <row r="575" ht="15.75" customHeight="1"/>
    <row r="576" ht="15.75" customHeight="1">
      <c r="A576" s="11" t="s">
        <v>32</v>
      </c>
      <c r="B576" s="11">
        <v>193.0</v>
      </c>
      <c r="C576" s="11">
        <v>100.0</v>
      </c>
    </row>
    <row r="577" ht="15.75" customHeight="1"/>
    <row r="578" ht="15.75" customHeight="1"/>
    <row r="579" ht="15.75" customHeight="1">
      <c r="A579" s="22">
        <v>5.0</v>
      </c>
    </row>
    <row r="580" ht="15.75" customHeight="1"/>
    <row r="581" ht="15.75" customHeight="1">
      <c r="A581" s="11" t="s">
        <v>96</v>
      </c>
      <c r="B581" s="11" t="s">
        <v>23</v>
      </c>
      <c r="C581" s="11" t="s">
        <v>24</v>
      </c>
      <c r="D581" s="11" t="s">
        <v>25</v>
      </c>
    </row>
    <row r="582" ht="15.75" customHeight="1"/>
    <row r="583" ht="15.75" customHeight="1">
      <c r="A583" s="11" t="s">
        <v>94</v>
      </c>
      <c r="B583" s="11">
        <v>153.837042</v>
      </c>
      <c r="C583" s="11">
        <v>88.41</v>
      </c>
      <c r="D583" s="11">
        <v>88.41</v>
      </c>
    </row>
    <row r="584" ht="15.75" customHeight="1">
      <c r="A584" s="11" t="s">
        <v>97</v>
      </c>
      <c r="B584" s="11">
        <v>20.1629581</v>
      </c>
      <c r="C584" s="11">
        <v>11.59</v>
      </c>
      <c r="D584" s="11">
        <v>100.0</v>
      </c>
    </row>
    <row r="585" ht="15.75" customHeight="1"/>
    <row r="586" ht="15.75" customHeight="1">
      <c r="A586" s="11" t="s">
        <v>32</v>
      </c>
      <c r="B586" s="11">
        <v>174.0</v>
      </c>
      <c r="C586" s="11">
        <v>100.0</v>
      </c>
    </row>
    <row r="587" ht="15.75" customHeight="1"/>
    <row r="588" ht="15.75" customHeight="1"/>
    <row r="589" ht="15.75" customHeight="1">
      <c r="A589" s="22">
        <v>6.0</v>
      </c>
    </row>
    <row r="590" ht="15.75" customHeight="1"/>
    <row r="591" ht="15.75" customHeight="1">
      <c r="A591" s="11" t="s">
        <v>96</v>
      </c>
      <c r="B591" s="11" t="s">
        <v>23</v>
      </c>
      <c r="C591" s="11" t="s">
        <v>24</v>
      </c>
      <c r="D591" s="11" t="s">
        <v>25</v>
      </c>
    </row>
    <row r="592" ht="15.75" customHeight="1"/>
    <row r="593" ht="15.75" customHeight="1">
      <c r="A593" s="11" t="s">
        <v>94</v>
      </c>
      <c r="B593" s="11">
        <v>129.202271</v>
      </c>
      <c r="C593" s="11">
        <v>92.95</v>
      </c>
      <c r="D593" s="11">
        <v>92.95</v>
      </c>
    </row>
    <row r="594" ht="15.75" customHeight="1">
      <c r="A594" s="11" t="s">
        <v>97</v>
      </c>
      <c r="B594" s="11">
        <v>9.79772946</v>
      </c>
      <c r="C594" s="11">
        <v>7.05</v>
      </c>
      <c r="D594" s="11">
        <v>100.0</v>
      </c>
    </row>
    <row r="595" ht="15.75" customHeight="1"/>
    <row r="596" ht="15.75" customHeight="1">
      <c r="A596" s="11" t="s">
        <v>32</v>
      </c>
      <c r="B596" s="11">
        <v>139.0</v>
      </c>
      <c r="C596" s="11">
        <v>100.0</v>
      </c>
    </row>
    <row r="597" ht="15.75" customHeight="1"/>
    <row r="598" ht="15.75" customHeight="1"/>
    <row r="599" ht="15.75" customHeight="1">
      <c r="A599" s="22">
        <v>7.0</v>
      </c>
    </row>
    <row r="600" ht="15.75" customHeight="1"/>
    <row r="601" ht="15.75" customHeight="1">
      <c r="A601" s="11" t="s">
        <v>96</v>
      </c>
      <c r="B601" s="11" t="s">
        <v>23</v>
      </c>
      <c r="C601" s="11" t="s">
        <v>24</v>
      </c>
      <c r="D601" s="11" t="s">
        <v>25</v>
      </c>
    </row>
    <row r="602" ht="15.75" customHeight="1"/>
    <row r="603" ht="15.75" customHeight="1">
      <c r="A603" s="11" t="s">
        <v>94</v>
      </c>
      <c r="B603" s="11">
        <v>105.179945</v>
      </c>
      <c r="C603" s="11">
        <v>93.91</v>
      </c>
      <c r="D603" s="11">
        <v>93.91</v>
      </c>
    </row>
    <row r="604" ht="15.75" customHeight="1">
      <c r="A604" s="11" t="s">
        <v>97</v>
      </c>
      <c r="B604" s="11">
        <v>6.820054569</v>
      </c>
      <c r="C604" s="11">
        <v>6.09</v>
      </c>
      <c r="D604" s="11">
        <v>100.0</v>
      </c>
    </row>
    <row r="605" ht="15.75" customHeight="1"/>
    <row r="606" ht="15.75" customHeight="1">
      <c r="A606" s="11" t="s">
        <v>32</v>
      </c>
      <c r="B606" s="11">
        <v>112.0</v>
      </c>
      <c r="C606" s="11">
        <v>100.0</v>
      </c>
    </row>
    <row r="607" ht="15.75" customHeight="1"/>
    <row r="608" ht="15.75" customHeight="1"/>
    <row r="609" ht="15.75" customHeight="1">
      <c r="A609" s="22">
        <v>8.0</v>
      </c>
    </row>
    <row r="610" ht="15.75" customHeight="1"/>
    <row r="611" ht="15.75" customHeight="1">
      <c r="A611" s="11" t="s">
        <v>96</v>
      </c>
      <c r="B611" s="11" t="s">
        <v>23</v>
      </c>
      <c r="C611" s="11" t="s">
        <v>24</v>
      </c>
      <c r="D611" s="11" t="s">
        <v>25</v>
      </c>
    </row>
    <row r="612" ht="15.75" customHeight="1"/>
    <row r="613" ht="15.75" customHeight="1">
      <c r="A613" s="11" t="s">
        <v>94</v>
      </c>
      <c r="B613" s="11">
        <v>99.2289101</v>
      </c>
      <c r="C613" s="11">
        <v>93.61</v>
      </c>
      <c r="D613" s="11">
        <v>93.61</v>
      </c>
    </row>
    <row r="614" ht="15.75" customHeight="1">
      <c r="A614" s="11" t="s">
        <v>97</v>
      </c>
      <c r="B614" s="11">
        <v>6.77108993</v>
      </c>
      <c r="C614" s="11">
        <v>6.39</v>
      </c>
      <c r="D614" s="11">
        <v>100.0</v>
      </c>
    </row>
    <row r="615" ht="15.75" customHeight="1"/>
    <row r="616" ht="15.75" customHeight="1">
      <c r="A616" s="11" t="s">
        <v>32</v>
      </c>
      <c r="B616" s="11">
        <v>106.0</v>
      </c>
      <c r="C616" s="11">
        <v>100.0</v>
      </c>
    </row>
    <row r="617" ht="15.75" customHeight="1"/>
    <row r="618" ht="15.75" customHeight="1"/>
    <row r="619" ht="15.75" customHeight="1">
      <c r="A619" s="22">
        <v>9.0</v>
      </c>
    </row>
    <row r="620" ht="15.75" customHeight="1"/>
    <row r="621" ht="15.75" customHeight="1">
      <c r="A621" s="11" t="s">
        <v>96</v>
      </c>
      <c r="B621" s="11" t="s">
        <v>23</v>
      </c>
      <c r="C621" s="11" t="s">
        <v>24</v>
      </c>
      <c r="D621" s="11" t="s">
        <v>25</v>
      </c>
    </row>
    <row r="622" ht="15.75" customHeight="1"/>
    <row r="623" ht="15.75" customHeight="1">
      <c r="A623" s="11" t="s">
        <v>94</v>
      </c>
      <c r="B623" s="11">
        <v>61.25275565</v>
      </c>
      <c r="C623" s="11">
        <v>100.0</v>
      </c>
      <c r="D623" s="11">
        <v>98.79</v>
      </c>
    </row>
    <row r="624" ht="15.75" customHeight="1">
      <c r="A624" s="11" t="s">
        <v>97</v>
      </c>
      <c r="B624" s="11">
        <v>0.74724435</v>
      </c>
      <c r="C624" s="11">
        <v>0.0</v>
      </c>
      <c r="D624" s="11">
        <v>100.0</v>
      </c>
    </row>
    <row r="625" ht="15.75" customHeight="1"/>
    <row r="626" ht="15.75" customHeight="1">
      <c r="A626" s="11" t="s">
        <v>32</v>
      </c>
      <c r="B626" s="11">
        <v>62.0</v>
      </c>
      <c r="C626" s="11">
        <v>100.0</v>
      </c>
    </row>
    <row r="627" ht="15.75" customHeight="1"/>
    <row r="628" ht="15.75" customHeight="1"/>
    <row r="629" ht="15.75" customHeight="1">
      <c r="A629" s="22" t="s">
        <v>69</v>
      </c>
    </row>
    <row r="630" ht="15.75" customHeight="1"/>
    <row r="631" ht="15.75" customHeight="1">
      <c r="A631" s="11" t="s">
        <v>96</v>
      </c>
      <c r="B631" s="11" t="s">
        <v>23</v>
      </c>
      <c r="C631" s="11" t="s">
        <v>24</v>
      </c>
      <c r="D631" s="11" t="s">
        <v>25</v>
      </c>
    </row>
    <row r="632" ht="15.75" customHeight="1"/>
    <row r="633" ht="15.75" customHeight="1">
      <c r="A633" s="11" t="s">
        <v>94</v>
      </c>
      <c r="B633" s="11">
        <v>81.9635367</v>
      </c>
      <c r="C633" s="11">
        <v>95.31</v>
      </c>
      <c r="D633" s="11">
        <v>95.31</v>
      </c>
    </row>
    <row r="634" ht="15.75" customHeight="1">
      <c r="A634" s="11" t="s">
        <v>97</v>
      </c>
      <c r="B634" s="11">
        <v>4.03646332</v>
      </c>
      <c r="C634" s="11">
        <v>4.69</v>
      </c>
      <c r="D634" s="11">
        <v>100.0</v>
      </c>
    </row>
    <row r="635" ht="15.75" customHeight="1"/>
    <row r="636" ht="15.75" customHeight="1">
      <c r="A636" s="11" t="s">
        <v>32</v>
      </c>
      <c r="B636" s="11">
        <v>86.0</v>
      </c>
      <c r="C636" s="11">
        <v>100.0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4:D364"/>
    <mergeCell ref="A365:E365"/>
    <mergeCell ref="A438:D438"/>
    <mergeCell ref="A439:E439"/>
    <mergeCell ref="A539:D539"/>
    <mergeCell ref="A121:D121"/>
    <mergeCell ref="A122:D122"/>
    <mergeCell ref="A141:D141"/>
    <mergeCell ref="A190:D190"/>
    <mergeCell ref="A191:D191"/>
    <mergeCell ref="A298:D298"/>
    <mergeCell ref="A299:E29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0"/>
    <col customWidth="1" min="4" max="5" width="10.29"/>
    <col customWidth="1" min="6" max="6" width="17.0"/>
    <col customWidth="1" min="7" max="7" width="8.71"/>
    <col customWidth="1" min="8" max="8" width="13.0"/>
    <col customWidth="1" min="9" max="9" width="18.57"/>
    <col customWidth="1" min="10" max="11" width="8.71"/>
    <col customWidth="1" min="12" max="12" width="12.0"/>
    <col customWidth="1" min="13" max="13" width="14.29"/>
    <col customWidth="1" min="14" max="26" width="8.71"/>
  </cols>
  <sheetData>
    <row r="1">
      <c r="B1" s="8" t="s">
        <v>19</v>
      </c>
      <c r="C1" s="8" t="s">
        <v>27</v>
      </c>
      <c r="D1" s="8" t="s">
        <v>37</v>
      </c>
      <c r="E1" s="8" t="s">
        <v>30</v>
      </c>
      <c r="F1" s="8" t="s">
        <v>29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>
      <c r="A2" s="10" t="s">
        <v>98</v>
      </c>
      <c r="B2" s="27">
        <v>6.443745</v>
      </c>
      <c r="C2" s="27">
        <v>5.155437</v>
      </c>
      <c r="D2" s="27">
        <v>4.421486</v>
      </c>
      <c r="E2" s="27">
        <v>3.708685</v>
      </c>
      <c r="F2" s="27">
        <v>0.0</v>
      </c>
      <c r="H2" s="8" t="s">
        <v>19</v>
      </c>
      <c r="I2" s="21">
        <v>76.0</v>
      </c>
      <c r="J2" s="21">
        <v>67.88</v>
      </c>
      <c r="K2" s="21">
        <v>71.43</v>
      </c>
      <c r="L2" s="21">
        <v>72.47</v>
      </c>
      <c r="M2" s="21">
        <v>78.18</v>
      </c>
    </row>
    <row r="3">
      <c r="A3" s="10" t="s">
        <v>99</v>
      </c>
      <c r="B3" s="27">
        <v>6.477708</v>
      </c>
      <c r="C3" s="27">
        <v>5.214784</v>
      </c>
      <c r="D3" s="27">
        <v>4.677741</v>
      </c>
      <c r="E3" s="27">
        <v>3.859122</v>
      </c>
      <c r="F3" s="27">
        <v>3.929182</v>
      </c>
      <c r="H3" s="8" t="s">
        <v>27</v>
      </c>
      <c r="I3" s="21">
        <v>53.18</v>
      </c>
      <c r="J3" s="21">
        <v>52.19</v>
      </c>
      <c r="K3" s="21">
        <v>54.99</v>
      </c>
      <c r="L3" s="21">
        <v>54.37</v>
      </c>
      <c r="M3" s="21">
        <v>69.67</v>
      </c>
    </row>
    <row r="4">
      <c r="A4" s="10" t="s">
        <v>100</v>
      </c>
      <c r="B4" s="27">
        <v>6.133365</v>
      </c>
      <c r="C4" s="27">
        <v>5.065344</v>
      </c>
      <c r="D4" s="27">
        <v>4.831112</v>
      </c>
      <c r="E4" s="27">
        <v>3.820177</v>
      </c>
      <c r="F4" s="27">
        <v>3.877148</v>
      </c>
      <c r="H4" s="8" t="s">
        <v>37</v>
      </c>
      <c r="I4" s="21">
        <v>39.18</v>
      </c>
      <c r="J4" s="21">
        <v>38.95</v>
      </c>
      <c r="K4" s="21">
        <v>43.9</v>
      </c>
      <c r="L4" s="21">
        <v>40.52</v>
      </c>
      <c r="M4" s="21">
        <v>55.7</v>
      </c>
    </row>
    <row r="5">
      <c r="A5" s="10" t="s">
        <v>101</v>
      </c>
      <c r="B5" s="27">
        <v>6.493649</v>
      </c>
      <c r="C5" s="27">
        <v>5.054306</v>
      </c>
      <c r="D5" s="27">
        <v>3.86497</v>
      </c>
      <c r="E5" s="27">
        <v>3.201242</v>
      </c>
      <c r="F5" s="27">
        <v>3.318737</v>
      </c>
      <c r="H5" s="8" t="s">
        <v>29</v>
      </c>
      <c r="I5" s="21">
        <v>33.73</v>
      </c>
      <c r="J5" s="21">
        <v>27.55</v>
      </c>
      <c r="K5" s="21">
        <v>25.83</v>
      </c>
      <c r="L5" s="21">
        <v>29.43</v>
      </c>
      <c r="M5" s="21">
        <v>34.59</v>
      </c>
    </row>
    <row r="6">
      <c r="A6" s="10" t="s">
        <v>102</v>
      </c>
      <c r="B6" s="27">
        <v>6.512715</v>
      </c>
      <c r="C6" s="27">
        <v>5.131712</v>
      </c>
      <c r="D6" s="27">
        <v>3.70772</v>
      </c>
      <c r="E6" s="27">
        <v>3.108765</v>
      </c>
      <c r="F6" s="27">
        <v>3.068547</v>
      </c>
      <c r="H6" s="8" t="s">
        <v>30</v>
      </c>
      <c r="I6" s="21">
        <v>32.75</v>
      </c>
      <c r="J6" s="21">
        <v>27.21</v>
      </c>
      <c r="K6" s="21">
        <v>31.44</v>
      </c>
      <c r="L6" s="21">
        <v>33.43</v>
      </c>
      <c r="M6" s="21">
        <v>38.2</v>
      </c>
    </row>
    <row r="7">
      <c r="A7" s="10" t="s">
        <v>103</v>
      </c>
      <c r="B7" s="27">
        <v>6.62613</v>
      </c>
      <c r="C7" s="27">
        <v>5.216075</v>
      </c>
      <c r="D7" s="27">
        <v>3.585523</v>
      </c>
      <c r="E7" s="27">
        <v>3.093214</v>
      </c>
      <c r="F7" s="27">
        <v>2.970899</v>
      </c>
    </row>
    <row r="8">
      <c r="A8" s="10" t="s">
        <v>104</v>
      </c>
      <c r="B8" s="27">
        <v>6.274952</v>
      </c>
      <c r="C8" s="27">
        <v>5.311488</v>
      </c>
      <c r="D8" s="27">
        <v>3.826108</v>
      </c>
      <c r="E8" s="27">
        <v>3.337701</v>
      </c>
      <c r="F8" s="27">
        <v>3.284776</v>
      </c>
    </row>
    <row r="9">
      <c r="A9" s="10" t="s">
        <v>105</v>
      </c>
      <c r="B9" s="27">
        <v>6.178031</v>
      </c>
      <c r="C9" s="27">
        <v>5.513717</v>
      </c>
      <c r="D9" s="27">
        <v>4.522308</v>
      </c>
      <c r="E9" s="27">
        <v>3.753916</v>
      </c>
      <c r="F9" s="27">
        <v>3.7512</v>
      </c>
    </row>
    <row r="10">
      <c r="A10" s="10" t="s">
        <v>106</v>
      </c>
      <c r="B10" s="27">
        <v>6.242991</v>
      </c>
      <c r="C10" s="27">
        <v>5.351339</v>
      </c>
      <c r="D10" s="27">
        <v>4.732071</v>
      </c>
      <c r="E10" s="27">
        <v>3.972573</v>
      </c>
      <c r="F10" s="27">
        <v>3.896907</v>
      </c>
    </row>
    <row r="19">
      <c r="C19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C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C33" s="1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C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C47" s="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C54" s="1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C61" s="10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C68" s="1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C75" s="10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8.29"/>
    <col customWidth="1" hidden="1" min="2" max="2" width="11.86"/>
    <col customWidth="1" hidden="1" min="3" max="3" width="11.29"/>
    <col customWidth="1" hidden="1" min="4" max="5" width="8.71"/>
    <col customWidth="1" hidden="1" min="6" max="6" width="27.57"/>
    <col customWidth="1" hidden="1" min="7" max="7" width="14.0"/>
    <col customWidth="1" hidden="1" min="8" max="8" width="17.29"/>
    <col customWidth="1" hidden="1" min="9" max="11" width="8.71"/>
    <col customWidth="1" min="12" max="12" width="28.86"/>
    <col customWidth="1" min="13" max="13" width="15.43"/>
    <col customWidth="1" min="14" max="16" width="8.71"/>
    <col customWidth="1" min="17" max="17" width="13.86"/>
    <col customWidth="1" min="18" max="18" width="12.14"/>
    <col customWidth="1" min="19" max="19" width="17.43"/>
    <col customWidth="1" min="20" max="21" width="8.71"/>
    <col customWidth="1" min="22" max="22" width="10.71"/>
    <col customWidth="1" min="23" max="28" width="8.71"/>
    <col customWidth="1" min="29" max="29" width="20.0"/>
    <col customWidth="1" min="30" max="30" width="30.29"/>
    <col customWidth="1" min="31" max="37" width="8.71"/>
  </cols>
  <sheetData>
    <row r="1">
      <c r="A1" s="1" t="s">
        <v>0</v>
      </c>
      <c r="B1" s="2">
        <v>45135.0</v>
      </c>
      <c r="L1" s="1" t="s">
        <v>0</v>
      </c>
      <c r="M1" s="2">
        <v>45635.0</v>
      </c>
    </row>
    <row r="2">
      <c r="A2" s="5" t="s">
        <v>107</v>
      </c>
      <c r="L2" s="5" t="s">
        <v>107</v>
      </c>
      <c r="M2" s="6"/>
    </row>
    <row r="3">
      <c r="I3" s="6"/>
      <c r="J3" s="6"/>
      <c r="L3" s="14" t="s">
        <v>7</v>
      </c>
      <c r="M3" s="15"/>
      <c r="N3" s="15"/>
      <c r="O3" s="15"/>
      <c r="P3" s="16"/>
    </row>
    <row r="4">
      <c r="A4" s="22" t="s">
        <v>108</v>
      </c>
      <c r="B4" s="14" t="s">
        <v>18</v>
      </c>
      <c r="C4" s="15"/>
      <c r="D4" s="15"/>
      <c r="E4" s="16"/>
      <c r="F4" s="6"/>
      <c r="G4" s="6" t="s">
        <v>109</v>
      </c>
      <c r="H4" s="8" t="s">
        <v>110</v>
      </c>
      <c r="L4" s="22" t="s">
        <v>108</v>
      </c>
      <c r="Q4" s="6"/>
      <c r="R4" s="6" t="s">
        <v>109</v>
      </c>
      <c r="S4" s="8" t="s">
        <v>110</v>
      </c>
    </row>
    <row r="5">
      <c r="A5" s="11" t="s">
        <v>111</v>
      </c>
      <c r="B5" s="11" t="s">
        <v>23</v>
      </c>
      <c r="C5" s="11" t="s">
        <v>24</v>
      </c>
      <c r="D5" s="11" t="s">
        <v>25</v>
      </c>
      <c r="F5" s="8" t="s">
        <v>108</v>
      </c>
      <c r="G5" s="21">
        <f>C9</f>
        <v>47.55</v>
      </c>
      <c r="H5" s="21">
        <f>C7</f>
        <v>34.92</v>
      </c>
      <c r="L5" s="11" t="s">
        <v>111</v>
      </c>
      <c r="M5" s="11" t="s">
        <v>23</v>
      </c>
      <c r="N5" s="11" t="s">
        <v>24</v>
      </c>
      <c r="O5" s="11" t="s">
        <v>25</v>
      </c>
      <c r="Q5" s="8" t="s">
        <v>108</v>
      </c>
      <c r="R5" s="21">
        <f>N9</f>
        <v>49.29</v>
      </c>
      <c r="S5" s="21">
        <f>N7</f>
        <v>31.33</v>
      </c>
    </row>
    <row r="6">
      <c r="F6" s="8" t="s">
        <v>112</v>
      </c>
      <c r="G6" s="21">
        <f>C17</f>
        <v>42.21</v>
      </c>
      <c r="H6" s="21">
        <f>C15</f>
        <v>28.9</v>
      </c>
      <c r="Q6" s="8" t="s">
        <v>112</v>
      </c>
      <c r="R6" s="21">
        <f>N17</f>
        <v>47.12</v>
      </c>
      <c r="S6" s="21">
        <f>N15</f>
        <v>27.42</v>
      </c>
    </row>
    <row r="7">
      <c r="A7" s="11" t="s">
        <v>110</v>
      </c>
      <c r="B7" s="11">
        <v>699.529416</v>
      </c>
      <c r="C7" s="11">
        <v>34.92</v>
      </c>
      <c r="D7" s="11">
        <v>34.92</v>
      </c>
      <c r="F7" s="8" t="s">
        <v>113</v>
      </c>
      <c r="G7" s="21">
        <f>C26</f>
        <v>55.9</v>
      </c>
      <c r="H7" s="21">
        <f>C24</f>
        <v>25.39</v>
      </c>
      <c r="L7" s="11" t="s">
        <v>110</v>
      </c>
      <c r="M7" s="11">
        <v>578.3054982</v>
      </c>
      <c r="N7" s="11">
        <v>31.33</v>
      </c>
      <c r="O7" s="11">
        <v>31.33</v>
      </c>
      <c r="Q7" s="8" t="s">
        <v>113</v>
      </c>
      <c r="R7" s="21">
        <f>N26</f>
        <v>61.19</v>
      </c>
      <c r="S7" s="21">
        <f>N24</f>
        <v>22.32</v>
      </c>
    </row>
    <row r="8">
      <c r="A8" s="11" t="s">
        <v>114</v>
      </c>
      <c r="B8" s="11">
        <v>351.118254</v>
      </c>
      <c r="C8" s="11">
        <v>17.53</v>
      </c>
      <c r="D8" s="11">
        <v>52.45</v>
      </c>
      <c r="L8" s="11" t="s">
        <v>114</v>
      </c>
      <c r="M8" s="11">
        <v>357.752172</v>
      </c>
      <c r="N8" s="11">
        <v>19.38</v>
      </c>
      <c r="O8" s="11">
        <v>50.71</v>
      </c>
    </row>
    <row r="9">
      <c r="A9" s="11" t="s">
        <v>109</v>
      </c>
      <c r="B9" s="11">
        <v>952.35233</v>
      </c>
      <c r="C9" s="11">
        <v>47.55</v>
      </c>
      <c r="D9" s="11">
        <v>100.0</v>
      </c>
      <c r="L9" s="11" t="s">
        <v>109</v>
      </c>
      <c r="M9" s="11">
        <v>909.94233</v>
      </c>
      <c r="N9" s="11">
        <v>49.29</v>
      </c>
      <c r="O9" s="11">
        <v>100.0</v>
      </c>
    </row>
    <row r="10" ht="33.0" customHeight="1">
      <c r="F10" s="36" t="s">
        <v>115</v>
      </c>
      <c r="Q10" s="18" t="s">
        <v>116</v>
      </c>
    </row>
    <row r="11">
      <c r="A11" s="11" t="s">
        <v>32</v>
      </c>
      <c r="B11" s="10">
        <v>2003.0</v>
      </c>
      <c r="C11" s="11">
        <v>100.0</v>
      </c>
      <c r="L11" s="11" t="s">
        <v>32</v>
      </c>
      <c r="M11" s="10">
        <v>1846.0</v>
      </c>
      <c r="N11" s="11">
        <v>100.0</v>
      </c>
    </row>
    <row r="12">
      <c r="A12" s="22" t="s">
        <v>112</v>
      </c>
      <c r="L12" s="22" t="s">
        <v>112</v>
      </c>
    </row>
    <row r="13">
      <c r="A13" s="11" t="s">
        <v>117</v>
      </c>
      <c r="B13" s="11" t="s">
        <v>23</v>
      </c>
      <c r="C13" s="11" t="s">
        <v>24</v>
      </c>
      <c r="D13" s="11" t="s">
        <v>25</v>
      </c>
      <c r="L13" s="11" t="s">
        <v>117</v>
      </c>
      <c r="M13" s="11" t="s">
        <v>23</v>
      </c>
      <c r="N13" s="11" t="s">
        <v>24</v>
      </c>
      <c r="O13" s="11" t="s">
        <v>25</v>
      </c>
    </row>
    <row r="15">
      <c r="A15" s="11" t="s">
        <v>110</v>
      </c>
      <c r="B15" s="11">
        <v>578.255468</v>
      </c>
      <c r="C15" s="11">
        <v>28.9</v>
      </c>
      <c r="D15" s="11">
        <v>28.9</v>
      </c>
      <c r="L15" s="11" t="s">
        <v>110</v>
      </c>
      <c r="M15" s="11">
        <v>501.526497</v>
      </c>
      <c r="N15" s="11">
        <v>27.42</v>
      </c>
      <c r="O15" s="11">
        <v>27.42</v>
      </c>
    </row>
    <row r="16">
      <c r="A16" s="11" t="s">
        <v>114</v>
      </c>
      <c r="B16" s="11">
        <v>578.035669</v>
      </c>
      <c r="C16" s="11">
        <v>28.89</v>
      </c>
      <c r="D16" s="11">
        <v>57.79</v>
      </c>
      <c r="L16" s="11" t="s">
        <v>114</v>
      </c>
      <c r="M16" s="11">
        <v>465.693677</v>
      </c>
      <c r="N16" s="11">
        <v>25.46</v>
      </c>
      <c r="O16" s="11">
        <v>52.88</v>
      </c>
    </row>
    <row r="17">
      <c r="A17" s="11" t="s">
        <v>109</v>
      </c>
      <c r="B17" s="11">
        <v>844.708863</v>
      </c>
      <c r="C17" s="11">
        <v>42.21</v>
      </c>
      <c r="D17" s="11">
        <v>100.0</v>
      </c>
      <c r="L17" s="11" t="s">
        <v>109</v>
      </c>
      <c r="M17" s="11">
        <v>861.779826</v>
      </c>
      <c r="N17" s="11">
        <v>47.12</v>
      </c>
      <c r="O17" s="11">
        <v>100.0</v>
      </c>
    </row>
    <row r="19">
      <c r="A19" s="11" t="s">
        <v>32</v>
      </c>
      <c r="B19" s="10">
        <v>2001.0</v>
      </c>
      <c r="C19" s="11">
        <v>100.0</v>
      </c>
      <c r="L19" s="11" t="s">
        <v>32</v>
      </c>
      <c r="M19" s="10">
        <v>1829.0</v>
      </c>
      <c r="N19" s="11">
        <v>100.0</v>
      </c>
    </row>
    <row r="21" ht="15.75" customHeight="1">
      <c r="A21" s="22" t="s">
        <v>113</v>
      </c>
      <c r="L21" s="22" t="s">
        <v>113</v>
      </c>
    </row>
    <row r="22" ht="15.75" customHeight="1">
      <c r="A22" s="11" t="s">
        <v>118</v>
      </c>
      <c r="B22" s="11" t="s">
        <v>23</v>
      </c>
      <c r="C22" s="11" t="s">
        <v>24</v>
      </c>
      <c r="D22" s="11" t="s">
        <v>25</v>
      </c>
      <c r="L22" s="11" t="s">
        <v>118</v>
      </c>
      <c r="M22" s="11" t="s">
        <v>23</v>
      </c>
      <c r="N22" s="11" t="s">
        <v>24</v>
      </c>
      <c r="O22" s="11" t="s">
        <v>25</v>
      </c>
    </row>
    <row r="23" ht="15.75" customHeight="1"/>
    <row r="24" ht="15.75" customHeight="1">
      <c r="A24" s="11" t="s">
        <v>110</v>
      </c>
      <c r="B24" s="11">
        <v>556.1457408</v>
      </c>
      <c r="C24" s="11">
        <v>25.39</v>
      </c>
      <c r="D24" s="11">
        <v>25.39</v>
      </c>
      <c r="L24" s="11" t="s">
        <v>110</v>
      </c>
      <c r="M24" s="11">
        <v>447.439248</v>
      </c>
      <c r="N24" s="11">
        <v>22.32</v>
      </c>
      <c r="O24" s="11">
        <v>22.32</v>
      </c>
    </row>
    <row r="25" ht="15.75" customHeight="1">
      <c r="A25" s="11" t="s">
        <v>114</v>
      </c>
      <c r="B25" s="11">
        <v>409.707783</v>
      </c>
      <c r="C25" s="11">
        <v>18.71</v>
      </c>
      <c r="D25" s="11">
        <v>44.1</v>
      </c>
      <c r="L25" s="11" t="s">
        <v>114</v>
      </c>
      <c r="M25" s="23">
        <v>330.686672</v>
      </c>
      <c r="N25" s="11">
        <v>16.49</v>
      </c>
      <c r="O25" s="11">
        <v>38.81</v>
      </c>
    </row>
    <row r="26" ht="15.75" customHeight="1">
      <c r="A26" s="11" t="s">
        <v>109</v>
      </c>
      <c r="B26" s="23">
        <v>1224.1465</v>
      </c>
      <c r="C26" s="11">
        <v>55.9</v>
      </c>
      <c r="D26" s="11">
        <v>100.0</v>
      </c>
      <c r="L26" s="11" t="s">
        <v>109</v>
      </c>
      <c r="M26" s="23">
        <v>1226.87408</v>
      </c>
      <c r="N26" s="11">
        <v>61.19</v>
      </c>
      <c r="O26" s="11">
        <v>100.0</v>
      </c>
    </row>
    <row r="27" ht="15.75" customHeight="1">
      <c r="M27" s="10"/>
    </row>
    <row r="28" ht="15.75" customHeight="1">
      <c r="A28" s="11" t="s">
        <v>32</v>
      </c>
      <c r="B28" s="10">
        <v>2190.0</v>
      </c>
      <c r="C28" s="11">
        <v>100.0</v>
      </c>
      <c r="L28" s="11" t="s">
        <v>32</v>
      </c>
      <c r="M28" s="10">
        <v>2005.0</v>
      </c>
      <c r="N28" s="11">
        <v>100.0</v>
      </c>
    </row>
    <row r="29" ht="15.75" customHeight="1">
      <c r="R29" s="8" t="s">
        <v>3</v>
      </c>
      <c r="S29" s="8">
        <v>1.0</v>
      </c>
      <c r="T29" s="8">
        <v>2.0</v>
      </c>
      <c r="U29" s="8">
        <v>3.0</v>
      </c>
      <c r="V29" s="8">
        <v>4.0</v>
      </c>
      <c r="W29" s="8">
        <v>5.0</v>
      </c>
      <c r="X29" s="8">
        <v>6.0</v>
      </c>
      <c r="Y29" s="8">
        <v>7.0</v>
      </c>
      <c r="Z29" s="8">
        <v>8.0</v>
      </c>
      <c r="AA29" s="8">
        <v>9.0</v>
      </c>
      <c r="AB29" s="8">
        <v>10.0</v>
      </c>
      <c r="AC29" s="8">
        <v>11.0</v>
      </c>
    </row>
    <row r="30" ht="15.75" customHeight="1">
      <c r="L30" s="31" t="s">
        <v>119</v>
      </c>
      <c r="M30" s="15"/>
      <c r="N30" s="15"/>
      <c r="O30" s="16"/>
      <c r="R30" s="8"/>
      <c r="S30" s="11">
        <v>2002.0</v>
      </c>
      <c r="T30" s="11">
        <v>2004.0</v>
      </c>
      <c r="U30" s="11">
        <v>2006.0</v>
      </c>
      <c r="V30" s="11">
        <v>2008.0</v>
      </c>
      <c r="W30" s="11">
        <v>2010.0</v>
      </c>
      <c r="X30" s="11">
        <v>2012.0</v>
      </c>
      <c r="Y30" s="11">
        <v>2014.0</v>
      </c>
      <c r="Z30" s="11">
        <v>2016.0</v>
      </c>
      <c r="AA30" s="11">
        <v>2018.0</v>
      </c>
      <c r="AB30" s="11" t="s">
        <v>42</v>
      </c>
      <c r="AC30" s="11">
        <v>2023.0</v>
      </c>
    </row>
    <row r="31" ht="15.75" customHeight="1">
      <c r="K31" s="11" t="s">
        <v>120</v>
      </c>
      <c r="L31" s="22">
        <v>1.0</v>
      </c>
      <c r="R31" s="8" t="s">
        <v>119</v>
      </c>
      <c r="S31" s="27">
        <f>N35</f>
        <v>5.131528</v>
      </c>
      <c r="T31" s="27">
        <f>N42</f>
        <v>5.399793</v>
      </c>
      <c r="U31" s="27">
        <f>N49</f>
        <v>5.30981</v>
      </c>
      <c r="V31" s="27">
        <f>N56</f>
        <v>4.768002</v>
      </c>
      <c r="W31" s="27">
        <f>N63</f>
        <v>4.105498</v>
      </c>
      <c r="X31" s="27">
        <f>N70</f>
        <v>4.386174</v>
      </c>
      <c r="Y31" s="27">
        <f>N77</f>
        <v>4.625965</v>
      </c>
      <c r="Z31" s="27">
        <f>N84</f>
        <v>5.003988</v>
      </c>
      <c r="AA31" s="27">
        <f>N91</f>
        <v>5.088168</v>
      </c>
      <c r="AB31" s="27">
        <f>O97</f>
        <v>5.480834</v>
      </c>
      <c r="AC31" s="12">
        <f>O103</f>
        <v>5.175816</v>
      </c>
    </row>
    <row r="32" ht="15.75" customHeight="1">
      <c r="R32" s="8" t="s">
        <v>121</v>
      </c>
      <c r="S32" s="27"/>
      <c r="T32" s="27">
        <f>O118</f>
        <v>5.687411</v>
      </c>
      <c r="U32" s="27">
        <f>O125</f>
        <v>4.990154</v>
      </c>
      <c r="V32" s="27">
        <f>O132</f>
        <v>4.986295</v>
      </c>
      <c r="W32" s="27"/>
      <c r="X32" s="27">
        <f>O146</f>
        <v>4.530014</v>
      </c>
      <c r="Y32" s="27">
        <f>O153</f>
        <v>4.595398</v>
      </c>
      <c r="Z32" s="27">
        <f>O160</f>
        <v>4.84715</v>
      </c>
      <c r="AA32" s="27">
        <f>O167</f>
        <v>5.207389</v>
      </c>
      <c r="AB32" s="27">
        <f>N174</f>
        <v>5.841925</v>
      </c>
      <c r="AC32" s="12">
        <f>O179</f>
        <v>5.341813</v>
      </c>
    </row>
    <row r="33" ht="15.75" customHeight="1">
      <c r="K33" s="11" t="s">
        <v>122</v>
      </c>
      <c r="L33" s="11" t="s">
        <v>123</v>
      </c>
      <c r="M33" s="11" t="s">
        <v>124</v>
      </c>
      <c r="N33" s="11" t="s">
        <v>125</v>
      </c>
      <c r="O33" s="11" t="s">
        <v>126</v>
      </c>
      <c r="P33" s="11" t="s">
        <v>127</v>
      </c>
      <c r="Q33" s="11" t="s">
        <v>128</v>
      </c>
    </row>
    <row r="34" ht="15.75" customHeight="1">
      <c r="R34" s="18" t="s">
        <v>129</v>
      </c>
    </row>
    <row r="35" ht="15.75" customHeight="1">
      <c r="K35" s="11" t="s">
        <v>130</v>
      </c>
      <c r="L35" s="10">
        <v>1724.0</v>
      </c>
      <c r="M35" s="11">
        <v>260.569456</v>
      </c>
      <c r="N35" s="11">
        <v>5.131528</v>
      </c>
      <c r="O35" s="11">
        <v>2.432734</v>
      </c>
      <c r="P35" s="11">
        <v>0.0</v>
      </c>
      <c r="Q35" s="11">
        <v>10.0</v>
      </c>
    </row>
    <row r="36" ht="15.75" customHeight="1">
      <c r="K36" s="10"/>
    </row>
    <row r="37" ht="15.75" customHeight="1"/>
    <row r="38" ht="15.75" customHeight="1">
      <c r="K38" s="11" t="s">
        <v>120</v>
      </c>
      <c r="L38" s="22">
        <v>2.0</v>
      </c>
    </row>
    <row r="39" ht="15.75" customHeight="1"/>
    <row r="40" ht="15.75" customHeight="1">
      <c r="K40" s="11" t="s">
        <v>122</v>
      </c>
      <c r="L40" s="11" t="s">
        <v>123</v>
      </c>
      <c r="M40" s="11" t="s">
        <v>124</v>
      </c>
      <c r="N40" s="11" t="s">
        <v>125</v>
      </c>
      <c r="O40" s="11" t="s">
        <v>126</v>
      </c>
      <c r="P40" s="11" t="s">
        <v>127</v>
      </c>
      <c r="Q40" s="11" t="s">
        <v>128</v>
      </c>
    </row>
    <row r="41" ht="15.75" customHeight="1"/>
    <row r="42" ht="15.75" customHeight="1">
      <c r="K42" s="11" t="s">
        <v>130</v>
      </c>
      <c r="L42" s="10">
        <v>2007.0</v>
      </c>
      <c r="M42" s="11">
        <v>283.220364</v>
      </c>
      <c r="N42" s="11">
        <v>5.399793</v>
      </c>
      <c r="O42" s="11">
        <v>2.339729</v>
      </c>
      <c r="P42" s="11">
        <v>0.0</v>
      </c>
      <c r="Q42" s="11">
        <v>10.0</v>
      </c>
    </row>
    <row r="43" ht="15.75" customHeight="1">
      <c r="K43" s="10"/>
    </row>
    <row r="44" ht="15.75" customHeight="1"/>
    <row r="45" ht="15.75" customHeight="1">
      <c r="K45" s="11" t="s">
        <v>120</v>
      </c>
      <c r="L45" s="22">
        <v>3.0</v>
      </c>
    </row>
    <row r="46" ht="15.75" customHeight="1"/>
    <row r="47" ht="15.75" customHeight="1">
      <c r="K47" s="11" t="s">
        <v>122</v>
      </c>
      <c r="L47" s="11" t="s">
        <v>123</v>
      </c>
      <c r="M47" s="11" t="s">
        <v>124</v>
      </c>
      <c r="N47" s="11" t="s">
        <v>125</v>
      </c>
      <c r="O47" s="11" t="s">
        <v>126</v>
      </c>
      <c r="P47" s="11" t="s">
        <v>127</v>
      </c>
      <c r="Q47" s="11" t="s">
        <v>128</v>
      </c>
    </row>
    <row r="48" ht="15.75" customHeight="1"/>
    <row r="49" ht="15.75" customHeight="1">
      <c r="K49" s="11" t="s">
        <v>130</v>
      </c>
      <c r="L49" s="10">
        <v>1604.0</v>
      </c>
      <c r="M49" s="11">
        <v>303.298961</v>
      </c>
      <c r="N49" s="11">
        <v>5.30981</v>
      </c>
      <c r="O49" s="11">
        <v>2.362734</v>
      </c>
      <c r="P49" s="11">
        <v>0.0</v>
      </c>
      <c r="Q49" s="11">
        <v>10.0</v>
      </c>
    </row>
    <row r="50" ht="15.75" customHeight="1">
      <c r="K50" s="10"/>
    </row>
    <row r="51" ht="15.75" customHeight="1"/>
    <row r="52" ht="15.75" customHeight="1">
      <c r="K52" s="11" t="s">
        <v>120</v>
      </c>
      <c r="L52" s="22">
        <v>4.0</v>
      </c>
    </row>
    <row r="53" ht="15.75" customHeight="1"/>
    <row r="54" ht="15.75" customHeight="1">
      <c r="K54" s="11" t="s">
        <v>122</v>
      </c>
      <c r="L54" s="11" t="s">
        <v>123</v>
      </c>
      <c r="M54" s="11" t="s">
        <v>124</v>
      </c>
      <c r="N54" s="11" t="s">
        <v>125</v>
      </c>
      <c r="O54" s="11" t="s">
        <v>126</v>
      </c>
      <c r="P54" s="11" t="s">
        <v>127</v>
      </c>
      <c r="Q54" s="11" t="s">
        <v>128</v>
      </c>
    </row>
    <row r="55" ht="15.75" customHeight="1"/>
    <row r="56" ht="15.75" customHeight="1">
      <c r="K56" s="11" t="s">
        <v>130</v>
      </c>
      <c r="L56" s="10">
        <v>1671.0</v>
      </c>
      <c r="M56" s="11">
        <v>330.167584</v>
      </c>
      <c r="N56" s="11">
        <v>4.768002</v>
      </c>
      <c r="O56" s="11">
        <v>2.306053</v>
      </c>
      <c r="P56" s="11">
        <v>0.0</v>
      </c>
      <c r="Q56" s="11">
        <v>10.0</v>
      </c>
    </row>
    <row r="57" ht="15.75" customHeight="1">
      <c r="K57" s="10"/>
    </row>
    <row r="58" ht="15.75" customHeight="1"/>
    <row r="59" ht="15.75" customHeight="1">
      <c r="K59" s="11" t="s">
        <v>120</v>
      </c>
      <c r="L59" s="22">
        <v>5.0</v>
      </c>
    </row>
    <row r="60" ht="15.75" customHeight="1"/>
    <row r="61" ht="15.75" customHeight="1">
      <c r="K61" s="11" t="s">
        <v>122</v>
      </c>
      <c r="L61" s="11" t="s">
        <v>123</v>
      </c>
      <c r="M61" s="11" t="s">
        <v>124</v>
      </c>
      <c r="N61" s="11" t="s">
        <v>125</v>
      </c>
      <c r="O61" s="11" t="s">
        <v>126</v>
      </c>
      <c r="P61" s="11" t="s">
        <v>127</v>
      </c>
      <c r="Q61" s="11" t="s">
        <v>128</v>
      </c>
    </row>
    <row r="62" ht="15.75" customHeight="1"/>
    <row r="63" ht="15.75" customHeight="1">
      <c r="K63" s="11" t="s">
        <v>130</v>
      </c>
      <c r="L63" s="10">
        <v>2294.0</v>
      </c>
      <c r="M63" s="11">
        <v>317.373864</v>
      </c>
      <c r="N63" s="11">
        <v>4.105498</v>
      </c>
      <c r="O63" s="11">
        <v>2.379567</v>
      </c>
      <c r="P63" s="11">
        <v>0.0</v>
      </c>
      <c r="Q63" s="11">
        <v>10.0</v>
      </c>
    </row>
    <row r="64" ht="15.75" customHeight="1">
      <c r="K64" s="10"/>
    </row>
    <row r="65" ht="15.75" customHeight="1"/>
    <row r="66" ht="15.75" customHeight="1">
      <c r="K66" s="11" t="s">
        <v>120</v>
      </c>
      <c r="L66" s="22">
        <v>6.0</v>
      </c>
    </row>
    <row r="67" ht="15.75" customHeight="1"/>
    <row r="68" ht="15.75" customHeight="1">
      <c r="K68" s="11" t="s">
        <v>122</v>
      </c>
      <c r="L68" s="11" t="s">
        <v>123</v>
      </c>
      <c r="M68" s="11" t="s">
        <v>124</v>
      </c>
      <c r="N68" s="11" t="s">
        <v>125</v>
      </c>
      <c r="O68" s="11" t="s">
        <v>126</v>
      </c>
      <c r="P68" s="11" t="s">
        <v>127</v>
      </c>
      <c r="Q68" s="11" t="s">
        <v>128</v>
      </c>
    </row>
    <row r="69" ht="15.75" customHeight="1"/>
    <row r="70" ht="15.75" customHeight="1">
      <c r="K70" s="11" t="s">
        <v>130</v>
      </c>
      <c r="L70" s="10">
        <v>2389.0</v>
      </c>
      <c r="M70" s="11">
        <v>328.936675</v>
      </c>
      <c r="N70" s="11">
        <v>4.386174</v>
      </c>
      <c r="O70" s="11">
        <v>2.444697</v>
      </c>
      <c r="P70" s="11">
        <v>0.0</v>
      </c>
      <c r="Q70" s="11">
        <v>10.0</v>
      </c>
    </row>
    <row r="71" ht="15.75" customHeight="1">
      <c r="K71" s="10"/>
    </row>
    <row r="72" ht="15.75" customHeight="1"/>
    <row r="73" ht="15.75" customHeight="1">
      <c r="K73" s="11" t="s">
        <v>120</v>
      </c>
      <c r="L73" s="22">
        <v>7.0</v>
      </c>
    </row>
    <row r="74" ht="15.75" customHeight="1"/>
    <row r="75" ht="15.75" customHeight="1">
      <c r="K75" s="11" t="s">
        <v>122</v>
      </c>
      <c r="L75" s="11" t="s">
        <v>123</v>
      </c>
      <c r="M75" s="11" t="s">
        <v>124</v>
      </c>
      <c r="N75" s="11" t="s">
        <v>125</v>
      </c>
      <c r="O75" s="11" t="s">
        <v>126</v>
      </c>
      <c r="P75" s="11" t="s">
        <v>127</v>
      </c>
      <c r="Q75" s="11" t="s">
        <v>128</v>
      </c>
    </row>
    <row r="76" ht="15.75" customHeight="1"/>
    <row r="77" ht="15.75" customHeight="1">
      <c r="K77" s="11" t="s">
        <v>130</v>
      </c>
      <c r="L77" s="10">
        <v>2170.0</v>
      </c>
      <c r="M77" s="11">
        <v>327.038068</v>
      </c>
      <c r="N77" s="11">
        <v>4.625965</v>
      </c>
      <c r="O77" s="11">
        <v>2.345632</v>
      </c>
      <c r="P77" s="11">
        <v>0.0</v>
      </c>
      <c r="Q77" s="11">
        <v>10.0</v>
      </c>
    </row>
    <row r="78" ht="15.75" customHeight="1">
      <c r="K78" s="10"/>
    </row>
    <row r="79" ht="15.75" customHeight="1"/>
    <row r="80" ht="15.75" customHeight="1">
      <c r="K80" s="11" t="s">
        <v>120</v>
      </c>
      <c r="L80" s="22">
        <v>8.0</v>
      </c>
    </row>
    <row r="81" ht="15.75" customHeight="1"/>
    <row r="82" ht="15.75" customHeight="1">
      <c r="K82" s="11" t="s">
        <v>122</v>
      </c>
      <c r="L82" s="11" t="s">
        <v>123</v>
      </c>
      <c r="M82" s="11" t="s">
        <v>124</v>
      </c>
      <c r="N82" s="11" t="s">
        <v>125</v>
      </c>
      <c r="O82" s="11" t="s">
        <v>126</v>
      </c>
      <c r="P82" s="11" t="s">
        <v>127</v>
      </c>
      <c r="Q82" s="11" t="s">
        <v>128</v>
      </c>
    </row>
    <row r="83" ht="15.75" customHeight="1"/>
    <row r="84" ht="15.75" customHeight="1">
      <c r="K84" s="11" t="s">
        <v>130</v>
      </c>
      <c r="L84" s="10">
        <v>2494.0</v>
      </c>
      <c r="M84" s="11">
        <v>338.154657</v>
      </c>
      <c r="N84" s="11">
        <v>5.003988</v>
      </c>
      <c r="O84" s="11">
        <v>2.246929</v>
      </c>
      <c r="P84" s="11">
        <v>0.0</v>
      </c>
      <c r="Q84" s="11">
        <v>10.0</v>
      </c>
    </row>
    <row r="85" ht="15.75" customHeight="1">
      <c r="K85" s="10"/>
    </row>
    <row r="86" ht="15.75" customHeight="1"/>
    <row r="87" ht="15.75" customHeight="1">
      <c r="K87" s="11" t="s">
        <v>120</v>
      </c>
      <c r="L87" s="22">
        <v>9.0</v>
      </c>
    </row>
    <row r="88" ht="15.75" customHeight="1"/>
    <row r="89" ht="15.75" customHeight="1">
      <c r="K89" s="11" t="s">
        <v>122</v>
      </c>
      <c r="L89" s="11" t="s">
        <v>123</v>
      </c>
      <c r="M89" s="11" t="s">
        <v>124</v>
      </c>
      <c r="N89" s="11" t="s">
        <v>125</v>
      </c>
      <c r="O89" s="11" t="s">
        <v>126</v>
      </c>
      <c r="P89" s="11" t="s">
        <v>127</v>
      </c>
      <c r="Q89" s="11" t="s">
        <v>128</v>
      </c>
    </row>
    <row r="90" ht="15.75" customHeight="1"/>
    <row r="91" ht="15.75" customHeight="1">
      <c r="K91" s="11" t="s">
        <v>130</v>
      </c>
      <c r="L91" s="10">
        <v>2003.0</v>
      </c>
      <c r="M91" s="11">
        <v>344.9991</v>
      </c>
      <c r="N91" s="11">
        <v>5.088168</v>
      </c>
      <c r="O91" s="11">
        <v>2.525763</v>
      </c>
      <c r="P91" s="11">
        <v>0.0</v>
      </c>
      <c r="Q91" s="11">
        <v>10.0</v>
      </c>
    </row>
    <row r="92" ht="15.75" customHeight="1">
      <c r="M92" s="10"/>
    </row>
    <row r="93" ht="15.75" customHeight="1">
      <c r="L93" s="32">
        <v>10.0</v>
      </c>
    </row>
    <row r="94" ht="15.75" customHeight="1"/>
    <row r="95" ht="15.75" customHeight="1">
      <c r="L95" s="11" t="s">
        <v>122</v>
      </c>
      <c r="M95" s="11" t="s">
        <v>123</v>
      </c>
      <c r="N95" s="11" t="s">
        <v>124</v>
      </c>
      <c r="O95" s="11" t="s">
        <v>125</v>
      </c>
      <c r="P95" s="11" t="s">
        <v>126</v>
      </c>
      <c r="Q95" s="11" t="s">
        <v>127</v>
      </c>
      <c r="R95" s="11" t="s">
        <v>128</v>
      </c>
    </row>
    <row r="96" ht="15.75" customHeight="1"/>
    <row r="97" ht="15.75" customHeight="1">
      <c r="L97" s="11" t="s">
        <v>130</v>
      </c>
      <c r="M97" s="10">
        <v>1587.0</v>
      </c>
      <c r="N97" s="11">
        <v>361.137297</v>
      </c>
      <c r="O97" s="11">
        <v>5.480834</v>
      </c>
      <c r="P97" s="11">
        <v>2.530306</v>
      </c>
      <c r="Q97" s="11">
        <v>0.0</v>
      </c>
      <c r="R97" s="11">
        <v>10.0</v>
      </c>
    </row>
    <row r="98" ht="15.75" customHeight="1">
      <c r="M98" s="10"/>
    </row>
    <row r="99" ht="15.75" customHeight="1">
      <c r="L99" s="32">
        <v>11.0</v>
      </c>
      <c r="M99" s="10"/>
    </row>
    <row r="100" ht="15.75" customHeight="1">
      <c r="M100" s="10"/>
    </row>
    <row r="101" ht="15.75" customHeight="1">
      <c r="L101" s="11" t="s">
        <v>122</v>
      </c>
      <c r="M101" s="10" t="s">
        <v>123</v>
      </c>
      <c r="N101" s="11" t="s">
        <v>124</v>
      </c>
      <c r="O101" s="11" t="s">
        <v>125</v>
      </c>
      <c r="P101" s="11" t="s">
        <v>126</v>
      </c>
      <c r="Q101" s="11" t="s">
        <v>127</v>
      </c>
      <c r="R101" s="11" t="s">
        <v>128</v>
      </c>
    </row>
    <row r="102" ht="15.75" customHeight="1">
      <c r="M102" s="10"/>
    </row>
    <row r="103" ht="15.75" customHeight="1">
      <c r="L103" s="11" t="s">
        <v>130</v>
      </c>
      <c r="M103" s="10" t="s">
        <v>131</v>
      </c>
      <c r="N103" s="11">
        <v>385.970687</v>
      </c>
      <c r="O103" s="11">
        <v>5.175816</v>
      </c>
      <c r="P103" s="11">
        <v>2.469787</v>
      </c>
      <c r="Q103" s="11">
        <v>0.0</v>
      </c>
      <c r="R103" s="11">
        <v>10.0</v>
      </c>
    </row>
    <row r="104" ht="15.75" customHeight="1">
      <c r="M104" s="10"/>
    </row>
    <row r="105" ht="15.75" customHeight="1"/>
    <row r="106" ht="15.75" customHeight="1">
      <c r="L106" s="31" t="s">
        <v>121</v>
      </c>
      <c r="M106" s="15"/>
      <c r="N106" s="15"/>
      <c r="O106" s="16"/>
    </row>
    <row r="107" ht="15.75" customHeight="1">
      <c r="L107" s="32">
        <v>1.0</v>
      </c>
    </row>
    <row r="108" ht="15.75" customHeight="1"/>
    <row r="109" ht="15.75" customHeight="1">
      <c r="L109" s="11" t="s">
        <v>122</v>
      </c>
      <c r="M109" s="11" t="s">
        <v>123</v>
      </c>
      <c r="N109" s="11" t="s">
        <v>124</v>
      </c>
      <c r="O109" s="11" t="s">
        <v>125</v>
      </c>
      <c r="P109" s="11" t="s">
        <v>126</v>
      </c>
      <c r="Q109" s="11" t="s">
        <v>127</v>
      </c>
      <c r="R109" s="11" t="s">
        <v>128</v>
      </c>
    </row>
    <row r="110" ht="15.75" customHeight="1"/>
    <row r="111" ht="15.75" customHeight="1">
      <c r="L111" s="11" t="s">
        <v>132</v>
      </c>
      <c r="M111" s="11">
        <v>0.0</v>
      </c>
      <c r="N111" s="11">
        <v>0.0</v>
      </c>
    </row>
    <row r="112" ht="15.75" customHeight="1"/>
    <row r="113" ht="15.75" customHeight="1"/>
    <row r="114" ht="15.75" customHeight="1">
      <c r="L114" s="32">
        <v>2.0</v>
      </c>
    </row>
    <row r="115" ht="15.75" customHeight="1"/>
    <row r="116" ht="15.75" customHeight="1">
      <c r="L116" s="11" t="s">
        <v>122</v>
      </c>
      <c r="M116" s="11" t="s">
        <v>123</v>
      </c>
      <c r="N116" s="11" t="s">
        <v>124</v>
      </c>
      <c r="O116" s="11" t="s">
        <v>125</v>
      </c>
      <c r="P116" s="11" t="s">
        <v>126</v>
      </c>
      <c r="Q116" s="11" t="s">
        <v>127</v>
      </c>
      <c r="R116" s="11" t="s">
        <v>128</v>
      </c>
    </row>
    <row r="117" ht="15.75" customHeight="1"/>
    <row r="118" ht="15.75" customHeight="1">
      <c r="L118" s="11" t="s">
        <v>132</v>
      </c>
      <c r="M118" s="10">
        <v>2059.0</v>
      </c>
      <c r="N118" s="11">
        <v>286.712937</v>
      </c>
      <c r="O118" s="11">
        <v>5.687411</v>
      </c>
      <c r="P118" s="11">
        <v>2.258886</v>
      </c>
      <c r="Q118" s="11">
        <v>0.0</v>
      </c>
      <c r="R118" s="11">
        <v>10.0</v>
      </c>
    </row>
    <row r="119" ht="15.75" customHeight="1"/>
    <row r="120" ht="15.75" customHeight="1"/>
    <row r="121" ht="15.75" customHeight="1">
      <c r="L121" s="32">
        <v>3.0</v>
      </c>
    </row>
    <row r="122" ht="15.75" customHeight="1"/>
    <row r="123" ht="15.75" customHeight="1">
      <c r="L123" s="11" t="s">
        <v>122</v>
      </c>
      <c r="M123" s="11" t="s">
        <v>123</v>
      </c>
      <c r="N123" s="11" t="s">
        <v>124</v>
      </c>
      <c r="O123" s="11" t="s">
        <v>125</v>
      </c>
      <c r="P123" s="11" t="s">
        <v>126</v>
      </c>
      <c r="Q123" s="11" t="s">
        <v>127</v>
      </c>
      <c r="R123" s="11" t="s">
        <v>128</v>
      </c>
    </row>
    <row r="124" ht="15.75" customHeight="1"/>
    <row r="125" ht="15.75" customHeight="1">
      <c r="L125" s="11" t="s">
        <v>132</v>
      </c>
      <c r="M125" s="10">
        <v>1663.0</v>
      </c>
      <c r="N125" s="11">
        <v>312.904856</v>
      </c>
      <c r="O125" s="11">
        <v>4.990154</v>
      </c>
      <c r="P125" s="11">
        <v>2.416782</v>
      </c>
      <c r="Q125" s="11">
        <v>0.0</v>
      </c>
      <c r="R125" s="11">
        <v>10.0</v>
      </c>
    </row>
    <row r="126" ht="15.75" customHeight="1"/>
    <row r="127" ht="15.75" customHeight="1"/>
    <row r="128" ht="15.75" customHeight="1">
      <c r="L128" s="32">
        <v>4.0</v>
      </c>
    </row>
    <row r="129" ht="15.75" customHeight="1"/>
    <row r="130" ht="15.75" customHeight="1">
      <c r="L130" s="11" t="s">
        <v>122</v>
      </c>
      <c r="M130" s="11" t="s">
        <v>123</v>
      </c>
      <c r="N130" s="11" t="s">
        <v>124</v>
      </c>
      <c r="O130" s="11" t="s">
        <v>125</v>
      </c>
      <c r="P130" s="11" t="s">
        <v>126</v>
      </c>
      <c r="Q130" s="11" t="s">
        <v>127</v>
      </c>
      <c r="R130" s="11" t="s">
        <v>128</v>
      </c>
    </row>
    <row r="131" ht="15.75" customHeight="1"/>
    <row r="132" ht="15.75" customHeight="1">
      <c r="L132" s="11" t="s">
        <v>132</v>
      </c>
      <c r="M132" s="10">
        <v>1716.0</v>
      </c>
      <c r="N132" s="11">
        <v>339.794742</v>
      </c>
      <c r="O132" s="11">
        <v>4.986295</v>
      </c>
      <c r="P132" s="11">
        <v>2.128768</v>
      </c>
      <c r="Q132" s="11">
        <v>0.0</v>
      </c>
      <c r="R132" s="11">
        <v>10.0</v>
      </c>
    </row>
    <row r="133" ht="15.75" customHeight="1"/>
    <row r="134" ht="15.75" customHeight="1"/>
    <row r="135" ht="15.75" customHeight="1">
      <c r="L135" s="32">
        <v>5.0</v>
      </c>
    </row>
    <row r="136" ht="15.75" customHeight="1"/>
    <row r="137" ht="15.75" customHeight="1">
      <c r="L137" s="11" t="s">
        <v>122</v>
      </c>
      <c r="M137" s="11" t="s">
        <v>123</v>
      </c>
      <c r="N137" s="11" t="s">
        <v>124</v>
      </c>
      <c r="O137" s="11" t="s">
        <v>125</v>
      </c>
      <c r="P137" s="11" t="s">
        <v>126</v>
      </c>
      <c r="Q137" s="11" t="s">
        <v>127</v>
      </c>
      <c r="R137" s="11" t="s">
        <v>128</v>
      </c>
    </row>
    <row r="138" ht="15.75" customHeight="1"/>
    <row r="139" ht="15.75" customHeight="1">
      <c r="L139" s="11" t="s">
        <v>132</v>
      </c>
      <c r="M139" s="11">
        <v>0.0</v>
      </c>
      <c r="N139" s="11">
        <v>0.0</v>
      </c>
    </row>
    <row r="140" ht="15.75" customHeight="1"/>
    <row r="141" ht="15.75" customHeight="1"/>
    <row r="142" ht="15.75" customHeight="1">
      <c r="L142" s="32">
        <v>6.0</v>
      </c>
    </row>
    <row r="143" ht="15.75" customHeight="1"/>
    <row r="144" ht="15.75" customHeight="1">
      <c r="L144" s="11" t="s">
        <v>122</v>
      </c>
      <c r="M144" s="11" t="s">
        <v>123</v>
      </c>
      <c r="N144" s="11" t="s">
        <v>124</v>
      </c>
      <c r="O144" s="11" t="s">
        <v>125</v>
      </c>
      <c r="P144" s="11" t="s">
        <v>126</v>
      </c>
      <c r="Q144" s="11" t="s">
        <v>127</v>
      </c>
      <c r="R144" s="11" t="s">
        <v>128</v>
      </c>
    </row>
    <row r="145" ht="15.75" customHeight="1"/>
    <row r="146" ht="15.75" customHeight="1">
      <c r="L146" s="11" t="s">
        <v>132</v>
      </c>
      <c r="M146" s="10">
        <v>2331.0</v>
      </c>
      <c r="N146" s="11">
        <v>320.969958</v>
      </c>
      <c r="O146" s="11">
        <v>4.530014</v>
      </c>
      <c r="P146" s="11">
        <v>2.412777</v>
      </c>
      <c r="Q146" s="11">
        <v>0.0</v>
      </c>
      <c r="R146" s="11">
        <v>10.0</v>
      </c>
    </row>
    <row r="147" ht="15.75" customHeight="1"/>
    <row r="148" ht="15.75" customHeight="1"/>
    <row r="149" ht="15.75" customHeight="1">
      <c r="L149" s="32">
        <v>7.0</v>
      </c>
    </row>
    <row r="150" ht="15.75" customHeight="1"/>
    <row r="151" ht="15.75" customHeight="1">
      <c r="L151" s="11" t="s">
        <v>122</v>
      </c>
      <c r="M151" s="11" t="s">
        <v>123</v>
      </c>
      <c r="N151" s="11" t="s">
        <v>124</v>
      </c>
      <c r="O151" s="11" t="s">
        <v>125</v>
      </c>
      <c r="P151" s="11" t="s">
        <v>126</v>
      </c>
      <c r="Q151" s="11" t="s">
        <v>127</v>
      </c>
      <c r="R151" s="11" t="s">
        <v>128</v>
      </c>
    </row>
    <row r="152" ht="15.75" customHeight="1"/>
    <row r="153" ht="15.75" customHeight="1">
      <c r="L153" s="11" t="s">
        <v>132</v>
      </c>
      <c r="M153" s="10">
        <v>2123.0</v>
      </c>
      <c r="N153" s="11">
        <v>316.08708</v>
      </c>
      <c r="O153" s="11">
        <v>4.595398</v>
      </c>
      <c r="P153" s="11">
        <v>2.310268</v>
      </c>
      <c r="Q153" s="11">
        <v>0.0</v>
      </c>
      <c r="R153" s="11">
        <v>10.0</v>
      </c>
    </row>
    <row r="154" ht="15.75" customHeight="1"/>
    <row r="155" ht="15.75" customHeight="1"/>
    <row r="156" ht="15.75" customHeight="1">
      <c r="L156" s="32">
        <v>8.0</v>
      </c>
    </row>
    <row r="157" ht="15.75" customHeight="1"/>
    <row r="158" ht="15.75" customHeight="1">
      <c r="L158" s="11" t="s">
        <v>122</v>
      </c>
      <c r="M158" s="11" t="s">
        <v>123</v>
      </c>
      <c r="N158" s="11" t="s">
        <v>124</v>
      </c>
      <c r="O158" s="11" t="s">
        <v>125</v>
      </c>
      <c r="P158" s="11" t="s">
        <v>126</v>
      </c>
      <c r="Q158" s="11" t="s">
        <v>127</v>
      </c>
      <c r="R158" s="11" t="s">
        <v>128</v>
      </c>
    </row>
    <row r="159" ht="15.75" customHeight="1"/>
    <row r="160" ht="15.75" customHeight="1">
      <c r="L160" s="11" t="s">
        <v>132</v>
      </c>
      <c r="M160" s="10">
        <v>2523.0</v>
      </c>
      <c r="N160" s="11">
        <v>338.545359</v>
      </c>
      <c r="O160" s="11">
        <v>4.84715</v>
      </c>
      <c r="P160" s="11">
        <v>2.418536</v>
      </c>
      <c r="Q160" s="11">
        <v>0.0</v>
      </c>
      <c r="R160" s="11">
        <v>10.0</v>
      </c>
    </row>
    <row r="161" ht="15.75" customHeight="1"/>
    <row r="162" ht="15.75" customHeight="1"/>
    <row r="163" ht="15.75" customHeight="1">
      <c r="L163" s="32">
        <v>9.0</v>
      </c>
    </row>
    <row r="164" ht="15.75" customHeight="1"/>
    <row r="165" ht="15.75" customHeight="1">
      <c r="L165" s="11" t="s">
        <v>122</v>
      </c>
      <c r="M165" s="11" t="s">
        <v>123</v>
      </c>
      <c r="N165" s="11" t="s">
        <v>124</v>
      </c>
      <c r="O165" s="11" t="s">
        <v>125</v>
      </c>
      <c r="P165" s="11" t="s">
        <v>126</v>
      </c>
      <c r="Q165" s="11" t="s">
        <v>127</v>
      </c>
      <c r="R165" s="11" t="s">
        <v>128</v>
      </c>
    </row>
    <row r="166" ht="15.75" customHeight="1"/>
    <row r="167" ht="15.75" customHeight="1">
      <c r="L167" s="11" t="s">
        <v>132</v>
      </c>
      <c r="M167" s="10">
        <v>2001.0</v>
      </c>
      <c r="N167" s="11">
        <v>345.604005</v>
      </c>
      <c r="O167" s="11">
        <v>5.207389</v>
      </c>
      <c r="P167" s="11">
        <v>2.328845</v>
      </c>
      <c r="Q167" s="11">
        <v>0.0</v>
      </c>
      <c r="R167" s="11">
        <v>10.0</v>
      </c>
    </row>
    <row r="168" ht="15.75" customHeight="1"/>
    <row r="169" ht="15.75" customHeight="1"/>
    <row r="170" ht="15.75" customHeight="1">
      <c r="K170" s="11" t="s">
        <v>120</v>
      </c>
      <c r="L170" s="32">
        <v>10.0</v>
      </c>
    </row>
    <row r="171" ht="15.75" customHeight="1"/>
    <row r="172" ht="15.75" customHeight="1">
      <c r="K172" s="11" t="s">
        <v>122</v>
      </c>
      <c r="L172" s="11" t="s">
        <v>123</v>
      </c>
      <c r="M172" s="11" t="s">
        <v>124</v>
      </c>
      <c r="N172" s="11" t="s">
        <v>125</v>
      </c>
      <c r="O172" s="11" t="s">
        <v>126</v>
      </c>
      <c r="P172" s="11" t="s">
        <v>127</v>
      </c>
      <c r="Q172" s="11" t="s">
        <v>128</v>
      </c>
    </row>
    <row r="173" ht="15.75" customHeight="1"/>
    <row r="174" ht="15.75" customHeight="1">
      <c r="K174" s="11" t="s">
        <v>132</v>
      </c>
      <c r="L174" s="10">
        <v>1600.0</v>
      </c>
      <c r="M174" s="11">
        <v>360.608911</v>
      </c>
      <c r="N174" s="11">
        <v>5.841925</v>
      </c>
      <c r="O174" s="11">
        <v>2.439106</v>
      </c>
      <c r="P174" s="11">
        <v>0.0</v>
      </c>
      <c r="Q174" s="11">
        <v>10.0</v>
      </c>
    </row>
    <row r="175" ht="15.75" customHeight="1">
      <c r="L175" s="10"/>
    </row>
    <row r="176" ht="15.75" customHeight="1">
      <c r="L176" s="32">
        <v>11.0</v>
      </c>
    </row>
    <row r="177" ht="15.75" customHeight="1">
      <c r="L177" s="10" t="s">
        <v>122</v>
      </c>
      <c r="M177" s="11" t="s">
        <v>123</v>
      </c>
      <c r="N177" s="11" t="s">
        <v>124</v>
      </c>
      <c r="O177" s="11" t="s">
        <v>125</v>
      </c>
      <c r="P177" s="11" t="s">
        <v>126</v>
      </c>
      <c r="Q177" s="11" t="s">
        <v>127</v>
      </c>
      <c r="R177" s="11" t="s">
        <v>128</v>
      </c>
    </row>
    <row r="178" ht="15.75" customHeight="1">
      <c r="L178" s="10"/>
    </row>
    <row r="179" ht="15.75" customHeight="1">
      <c r="L179" s="10" t="s">
        <v>132</v>
      </c>
      <c r="M179" s="11" t="s">
        <v>133</v>
      </c>
      <c r="N179" s="11">
        <v>383.802802</v>
      </c>
      <c r="O179" s="11">
        <v>5.341813</v>
      </c>
      <c r="P179" s="11">
        <v>2.616444</v>
      </c>
      <c r="Q179" s="11">
        <v>0.0</v>
      </c>
      <c r="R179" s="11">
        <v>10.0</v>
      </c>
    </row>
    <row r="180" ht="15.75" customHeight="1">
      <c r="L180" s="10"/>
    </row>
    <row r="181" ht="15.75" customHeight="1">
      <c r="L181" s="10"/>
    </row>
    <row r="182" ht="15.75" customHeight="1">
      <c r="L182" s="10"/>
    </row>
    <row r="183" ht="15.75" customHeight="1">
      <c r="L183" s="14" t="s">
        <v>7</v>
      </c>
      <c r="M183" s="15"/>
      <c r="N183" s="15"/>
      <c r="O183" s="15"/>
      <c r="P183" s="16"/>
    </row>
    <row r="184" ht="15.75" customHeight="1">
      <c r="L184" s="31" t="s">
        <v>134</v>
      </c>
      <c r="M184" s="15"/>
      <c r="N184" s="15"/>
      <c r="O184" s="16"/>
      <c r="Q184" s="31" t="s">
        <v>112</v>
      </c>
      <c r="R184" s="15"/>
      <c r="S184" s="15"/>
      <c r="T184" s="16"/>
      <c r="V184" s="31" t="s">
        <v>113</v>
      </c>
      <c r="W184" s="15"/>
      <c r="X184" s="15"/>
      <c r="Y184" s="16"/>
      <c r="AC184" s="8" t="s">
        <v>135</v>
      </c>
      <c r="AD184" s="8" t="s">
        <v>136</v>
      </c>
      <c r="AE184" s="8" t="s">
        <v>137</v>
      </c>
    </row>
    <row r="185" ht="15.75" customHeight="1">
      <c r="L185" s="22" t="s">
        <v>8</v>
      </c>
      <c r="AB185" s="8" t="s">
        <v>8</v>
      </c>
      <c r="AC185" s="21">
        <f>N188</f>
        <v>47.67</v>
      </c>
      <c r="AD185" s="21">
        <f>S188</f>
        <v>35.12</v>
      </c>
      <c r="AE185" s="21">
        <f>X188</f>
        <v>32.54</v>
      </c>
    </row>
    <row r="186" ht="15.75" customHeight="1">
      <c r="L186" s="11" t="s">
        <v>111</v>
      </c>
      <c r="M186" s="11" t="s">
        <v>23</v>
      </c>
      <c r="N186" s="11" t="s">
        <v>24</v>
      </c>
      <c r="O186" s="11" t="s">
        <v>25</v>
      </c>
      <c r="Q186" s="11" t="s">
        <v>117</v>
      </c>
      <c r="R186" s="11" t="s">
        <v>23</v>
      </c>
      <c r="S186" s="11" t="s">
        <v>24</v>
      </c>
      <c r="T186" s="11" t="s">
        <v>25</v>
      </c>
      <c r="V186" s="11" t="s">
        <v>118</v>
      </c>
      <c r="W186" s="11" t="s">
        <v>23</v>
      </c>
      <c r="X186" s="11" t="s">
        <v>24</v>
      </c>
      <c r="Y186" s="11" t="s">
        <v>25</v>
      </c>
      <c r="AB186" s="8" t="s">
        <v>9</v>
      </c>
      <c r="AC186" s="21">
        <f>N197</f>
        <v>44.21</v>
      </c>
      <c r="AD186" s="21">
        <f>S197</f>
        <v>32.41</v>
      </c>
      <c r="AE186" s="21">
        <f>X197</f>
        <v>28.2</v>
      </c>
    </row>
    <row r="187" ht="15.75" customHeight="1">
      <c r="AB187" s="8" t="s">
        <v>10</v>
      </c>
      <c r="AC187" s="21">
        <f>N206</f>
        <v>32.49</v>
      </c>
      <c r="AD187" s="21">
        <f>S206</f>
        <v>29.39</v>
      </c>
      <c r="AE187" s="21">
        <f>X206</f>
        <v>22.02</v>
      </c>
    </row>
    <row r="188" ht="15.75" customHeight="1">
      <c r="L188" s="11" t="s">
        <v>110</v>
      </c>
      <c r="M188" s="11">
        <v>78.1753508</v>
      </c>
      <c r="N188" s="11">
        <v>47.67</v>
      </c>
      <c r="O188" s="11">
        <v>47.67</v>
      </c>
      <c r="Q188" s="11" t="s">
        <v>110</v>
      </c>
      <c r="R188" s="11">
        <v>57.2410668</v>
      </c>
      <c r="S188" s="11">
        <v>35.12</v>
      </c>
      <c r="T188" s="11">
        <v>35.12</v>
      </c>
      <c r="V188" s="11" t="s">
        <v>110</v>
      </c>
      <c r="W188" s="11">
        <v>63.46118946</v>
      </c>
      <c r="X188" s="11">
        <v>32.54</v>
      </c>
      <c r="Y188" s="11">
        <v>32.54</v>
      </c>
      <c r="AB188" s="8" t="s">
        <v>11</v>
      </c>
      <c r="AC188" s="21">
        <f>N215</f>
        <v>32.89</v>
      </c>
      <c r="AD188" s="21">
        <f>S215</f>
        <v>30.12</v>
      </c>
      <c r="AE188" s="21">
        <f>X215</f>
        <v>24.95</v>
      </c>
    </row>
    <row r="189" ht="15.75" customHeight="1">
      <c r="L189" s="11" t="s">
        <v>114</v>
      </c>
      <c r="M189" s="11">
        <v>30.5102477</v>
      </c>
      <c r="N189" s="11">
        <v>18.6</v>
      </c>
      <c r="O189" s="11">
        <v>66.27</v>
      </c>
      <c r="Q189" s="11" t="s">
        <v>114</v>
      </c>
      <c r="R189" s="11">
        <v>37.6045861</v>
      </c>
      <c r="S189" s="11">
        <v>23.07</v>
      </c>
      <c r="T189" s="11">
        <v>58.19</v>
      </c>
      <c r="V189" s="11" t="s">
        <v>114</v>
      </c>
      <c r="W189" s="11">
        <v>51.9119617</v>
      </c>
      <c r="X189" s="11">
        <v>26.62</v>
      </c>
      <c r="Y189" s="11">
        <v>59.17</v>
      </c>
      <c r="AB189" s="8" t="s">
        <v>12</v>
      </c>
      <c r="AC189" s="21">
        <f>N224</f>
        <v>20.83</v>
      </c>
      <c r="AD189" s="21">
        <f>S224</f>
        <v>20.66</v>
      </c>
      <c r="AE189" s="21">
        <f>X224</f>
        <v>15.83</v>
      </c>
    </row>
    <row r="190" ht="15.75" customHeight="1">
      <c r="L190" s="11" t="s">
        <v>109</v>
      </c>
      <c r="M190" s="11">
        <v>55.3144014</v>
      </c>
      <c r="N190" s="11">
        <v>33.73</v>
      </c>
      <c r="O190" s="11">
        <v>100.0</v>
      </c>
      <c r="Q190" s="11" t="s">
        <v>109</v>
      </c>
      <c r="R190" s="11">
        <v>68.15434718</v>
      </c>
      <c r="S190" s="11">
        <v>41.81</v>
      </c>
      <c r="T190" s="11">
        <v>100.0</v>
      </c>
      <c r="V190" s="11" t="s">
        <v>109</v>
      </c>
      <c r="W190" s="11">
        <v>79.6268489</v>
      </c>
      <c r="X190" s="11">
        <v>40.83</v>
      </c>
      <c r="Y190" s="11">
        <v>100.0</v>
      </c>
    </row>
    <row r="191" ht="38.25" customHeight="1">
      <c r="AB191" s="18" t="s">
        <v>138</v>
      </c>
    </row>
    <row r="192" ht="15.75" customHeight="1">
      <c r="L192" s="11" t="s">
        <v>32</v>
      </c>
      <c r="M192" s="11">
        <v>164.0</v>
      </c>
      <c r="N192" s="11">
        <v>100.0</v>
      </c>
      <c r="Q192" s="11" t="s">
        <v>32</v>
      </c>
      <c r="R192" s="11">
        <v>163.0</v>
      </c>
      <c r="S192" s="11">
        <v>100.0</v>
      </c>
      <c r="V192" s="11" t="s">
        <v>32</v>
      </c>
      <c r="W192" s="11">
        <v>195.0</v>
      </c>
      <c r="X192" s="11">
        <v>100.0</v>
      </c>
    </row>
    <row r="193" ht="15.75" customHeight="1"/>
    <row r="194" ht="15.75" customHeight="1">
      <c r="L194" s="22" t="s">
        <v>9</v>
      </c>
    </row>
    <row r="195" ht="15.75" customHeight="1">
      <c r="L195" s="11" t="s">
        <v>111</v>
      </c>
      <c r="M195" s="11" t="s">
        <v>23</v>
      </c>
      <c r="N195" s="11" t="s">
        <v>24</v>
      </c>
      <c r="O195" s="11" t="s">
        <v>25</v>
      </c>
      <c r="Q195" s="11" t="s">
        <v>117</v>
      </c>
      <c r="R195" s="11" t="s">
        <v>23</v>
      </c>
      <c r="S195" s="11" t="s">
        <v>24</v>
      </c>
      <c r="T195" s="11" t="s">
        <v>25</v>
      </c>
      <c r="V195" s="11" t="s">
        <v>118</v>
      </c>
      <c r="W195" s="11" t="s">
        <v>23</v>
      </c>
      <c r="X195" s="11" t="s">
        <v>24</v>
      </c>
      <c r="Y195" s="11" t="s">
        <v>25</v>
      </c>
    </row>
    <row r="196" ht="15.75" customHeight="1"/>
    <row r="197" ht="15.75" customHeight="1">
      <c r="L197" s="11" t="s">
        <v>110</v>
      </c>
      <c r="M197" s="11">
        <v>148.559264</v>
      </c>
      <c r="N197" s="11">
        <v>44.21</v>
      </c>
      <c r="O197" s="11">
        <v>44.21</v>
      </c>
      <c r="Q197" s="11" t="s">
        <v>110</v>
      </c>
      <c r="R197" s="11">
        <v>106.320481</v>
      </c>
      <c r="S197" s="11">
        <v>32.41</v>
      </c>
      <c r="T197" s="11">
        <v>32.41</v>
      </c>
      <c r="V197" s="11" t="s">
        <v>110</v>
      </c>
      <c r="W197" s="11">
        <v>104.622254</v>
      </c>
      <c r="X197" s="11">
        <v>28.2</v>
      </c>
      <c r="Y197" s="11">
        <v>28.2</v>
      </c>
    </row>
    <row r="198" ht="15.75" customHeight="1">
      <c r="L198" s="11" t="s">
        <v>114</v>
      </c>
      <c r="M198" s="11">
        <v>62.9264761</v>
      </c>
      <c r="N198" s="11">
        <v>18.73</v>
      </c>
      <c r="O198" s="11">
        <v>62.94</v>
      </c>
      <c r="Q198" s="11" t="s">
        <v>114</v>
      </c>
      <c r="R198" s="11">
        <v>83.6349621</v>
      </c>
      <c r="S198" s="11">
        <v>25.5</v>
      </c>
      <c r="T198" s="11">
        <v>57.91</v>
      </c>
      <c r="V198" s="11" t="s">
        <v>114</v>
      </c>
      <c r="W198" s="11">
        <v>65.230567</v>
      </c>
      <c r="X198" s="11">
        <v>17.58</v>
      </c>
      <c r="Y198" s="11">
        <v>45.78</v>
      </c>
    </row>
    <row r="199" ht="15.75" customHeight="1">
      <c r="L199" s="11" t="s">
        <v>109</v>
      </c>
      <c r="M199" s="11">
        <v>124.51426</v>
      </c>
      <c r="N199" s="11">
        <v>37.06</v>
      </c>
      <c r="O199" s="11">
        <v>100.0</v>
      </c>
      <c r="Q199" s="11" t="s">
        <v>109</v>
      </c>
      <c r="R199" s="11">
        <v>138.044557</v>
      </c>
      <c r="S199" s="11">
        <v>42.09</v>
      </c>
      <c r="T199" s="11">
        <v>100.0</v>
      </c>
      <c r="V199" s="11" t="s">
        <v>109</v>
      </c>
      <c r="W199" s="11">
        <v>201.147179</v>
      </c>
      <c r="X199" s="11">
        <v>54.22</v>
      </c>
      <c r="Y199" s="11">
        <v>100.0</v>
      </c>
    </row>
    <row r="200" ht="15.75" customHeight="1"/>
    <row r="201" ht="15.75" customHeight="1">
      <c r="L201" s="11" t="s">
        <v>32</v>
      </c>
      <c r="M201" s="11">
        <v>336.0</v>
      </c>
      <c r="N201" s="11">
        <v>100.0</v>
      </c>
      <c r="Q201" s="11" t="s">
        <v>32</v>
      </c>
      <c r="R201" s="11">
        <v>328.0</v>
      </c>
      <c r="S201" s="11">
        <v>100.0</v>
      </c>
      <c r="V201" s="11" t="s">
        <v>32</v>
      </c>
      <c r="W201" s="11">
        <v>371.0</v>
      </c>
      <c r="X201" s="11">
        <v>100.0</v>
      </c>
    </row>
    <row r="202" ht="15.75" customHeight="1"/>
    <row r="203" ht="15.75" customHeight="1">
      <c r="L203" s="22" t="s">
        <v>10</v>
      </c>
    </row>
    <row r="204" ht="15.75" customHeight="1">
      <c r="L204" s="11" t="s">
        <v>111</v>
      </c>
      <c r="M204" s="11" t="s">
        <v>23</v>
      </c>
      <c r="N204" s="11" t="s">
        <v>24</v>
      </c>
      <c r="O204" s="11" t="s">
        <v>25</v>
      </c>
      <c r="Q204" s="11" t="s">
        <v>117</v>
      </c>
      <c r="R204" s="11" t="s">
        <v>23</v>
      </c>
      <c r="S204" s="11" t="s">
        <v>24</v>
      </c>
      <c r="T204" s="11" t="s">
        <v>25</v>
      </c>
      <c r="V204" s="11" t="s">
        <v>118</v>
      </c>
      <c r="W204" s="11" t="s">
        <v>23</v>
      </c>
      <c r="X204" s="11" t="s">
        <v>24</v>
      </c>
      <c r="Y204" s="11" t="s">
        <v>25</v>
      </c>
    </row>
    <row r="205" ht="15.75" customHeight="1"/>
    <row r="206" ht="15.75" customHeight="1">
      <c r="L206" s="11" t="s">
        <v>110</v>
      </c>
      <c r="M206" s="11">
        <v>120.529299</v>
      </c>
      <c r="N206" s="11">
        <v>32.49</v>
      </c>
      <c r="O206" s="11">
        <v>32.49</v>
      </c>
      <c r="Q206" s="11" t="s">
        <v>110</v>
      </c>
      <c r="R206" s="11">
        <v>107.553612</v>
      </c>
      <c r="S206" s="11">
        <v>29.39</v>
      </c>
      <c r="T206" s="11">
        <v>29.39</v>
      </c>
      <c r="V206" s="11" t="s">
        <v>110</v>
      </c>
      <c r="W206" s="11">
        <v>90.7331267</v>
      </c>
      <c r="X206" s="11">
        <v>22.02</v>
      </c>
      <c r="Y206" s="11">
        <v>22.02</v>
      </c>
    </row>
    <row r="207" ht="15.75" customHeight="1">
      <c r="L207" s="11" t="s">
        <v>114</v>
      </c>
      <c r="M207" s="11">
        <v>81.1324822</v>
      </c>
      <c r="N207" s="11">
        <v>21.87</v>
      </c>
      <c r="O207" s="11">
        <v>54.36</v>
      </c>
      <c r="Q207" s="11" t="s">
        <v>114</v>
      </c>
      <c r="R207" s="11">
        <v>84.487586</v>
      </c>
      <c r="S207" s="11">
        <v>23.08</v>
      </c>
      <c r="T207" s="11">
        <v>52.47</v>
      </c>
      <c r="V207" s="11" t="s">
        <v>114</v>
      </c>
      <c r="W207" s="11">
        <v>65.4635508</v>
      </c>
      <c r="X207" s="11">
        <v>15.89</v>
      </c>
      <c r="Y207" s="11">
        <v>37.91</v>
      </c>
    </row>
    <row r="208" ht="15.75" customHeight="1">
      <c r="L208" s="11" t="s">
        <v>109</v>
      </c>
      <c r="M208" s="11">
        <v>169.338218</v>
      </c>
      <c r="N208" s="11">
        <v>45.64</v>
      </c>
      <c r="O208" s="11">
        <v>100.0</v>
      </c>
      <c r="Q208" s="11" t="s">
        <v>109</v>
      </c>
      <c r="R208" s="11">
        <v>173.958802</v>
      </c>
      <c r="S208" s="11">
        <v>47.53</v>
      </c>
      <c r="T208" s="11">
        <v>100.0</v>
      </c>
      <c r="V208" s="11" t="s">
        <v>109</v>
      </c>
      <c r="W208" s="11">
        <v>255.803322</v>
      </c>
      <c r="X208" s="11">
        <v>62.09</v>
      </c>
      <c r="Y208" s="11">
        <v>100.0</v>
      </c>
    </row>
    <row r="209" ht="15.75" customHeight="1"/>
    <row r="210" ht="15.75" customHeight="1">
      <c r="L210" s="11" t="s">
        <v>32</v>
      </c>
      <c r="M210" s="11">
        <v>371.0</v>
      </c>
      <c r="N210" s="11">
        <v>100.0</v>
      </c>
      <c r="Q210" s="11" t="s">
        <v>32</v>
      </c>
      <c r="R210" s="11">
        <v>366.0</v>
      </c>
      <c r="S210" s="11">
        <v>100.0</v>
      </c>
      <c r="V210" s="11" t="s">
        <v>32</v>
      </c>
      <c r="W210" s="11">
        <v>412.0</v>
      </c>
      <c r="X210" s="11">
        <v>100.0</v>
      </c>
    </row>
    <row r="211" ht="15.75" customHeight="1"/>
    <row r="212" ht="15.75" customHeight="1">
      <c r="L212" s="22" t="s">
        <v>11</v>
      </c>
    </row>
    <row r="213" ht="15.75" customHeight="1">
      <c r="L213" s="11" t="s">
        <v>111</v>
      </c>
      <c r="M213" s="11" t="s">
        <v>23</v>
      </c>
      <c r="N213" s="11" t="s">
        <v>24</v>
      </c>
      <c r="O213" s="11" t="s">
        <v>25</v>
      </c>
      <c r="Q213" s="11" t="s">
        <v>117</v>
      </c>
      <c r="R213" s="11" t="s">
        <v>23</v>
      </c>
      <c r="S213" s="11" t="s">
        <v>24</v>
      </c>
      <c r="T213" s="11" t="s">
        <v>25</v>
      </c>
      <c r="V213" s="11" t="s">
        <v>118</v>
      </c>
      <c r="W213" s="11" t="s">
        <v>23</v>
      </c>
      <c r="X213" s="11" t="s">
        <v>24</v>
      </c>
      <c r="Y213" s="11" t="s">
        <v>25</v>
      </c>
    </row>
    <row r="214" ht="15.75" customHeight="1"/>
    <row r="215" ht="15.75" customHeight="1">
      <c r="L215" s="11" t="s">
        <v>110</v>
      </c>
      <c r="M215" s="11">
        <v>132.545994</v>
      </c>
      <c r="N215" s="11">
        <v>32.89</v>
      </c>
      <c r="O215" s="11">
        <v>32.89</v>
      </c>
      <c r="Q215" s="11" t="s">
        <v>110</v>
      </c>
      <c r="R215" s="11">
        <v>120.1881725</v>
      </c>
      <c r="S215" s="11">
        <v>30.12</v>
      </c>
      <c r="T215" s="11">
        <v>30.12</v>
      </c>
      <c r="V215" s="11" t="s">
        <v>110</v>
      </c>
      <c r="W215" s="11">
        <v>108.791008</v>
      </c>
      <c r="X215" s="11">
        <v>24.95</v>
      </c>
      <c r="Y215" s="11">
        <v>24.95</v>
      </c>
    </row>
    <row r="216" ht="15.75" customHeight="1">
      <c r="L216" s="11" t="s">
        <v>114</v>
      </c>
      <c r="M216" s="11">
        <v>88.6291053</v>
      </c>
      <c r="N216" s="11">
        <v>21.99</v>
      </c>
      <c r="O216" s="11">
        <v>54.88</v>
      </c>
      <c r="Q216" s="11" t="s">
        <v>114</v>
      </c>
      <c r="R216" s="11">
        <v>88.1483136</v>
      </c>
      <c r="S216" s="11">
        <v>22.09</v>
      </c>
      <c r="T216" s="11">
        <v>52.21</v>
      </c>
      <c r="V216" s="11" t="s">
        <v>114</v>
      </c>
      <c r="W216" s="11">
        <v>72.3488042</v>
      </c>
      <c r="X216" s="11">
        <v>16.59</v>
      </c>
      <c r="Y216" s="11">
        <v>41.55</v>
      </c>
    </row>
    <row r="217" ht="15.75" customHeight="1">
      <c r="L217" s="11" t="s">
        <v>109</v>
      </c>
      <c r="M217" s="11">
        <v>181.824901</v>
      </c>
      <c r="N217" s="11">
        <v>45.12</v>
      </c>
      <c r="O217" s="11">
        <v>100.0</v>
      </c>
      <c r="Q217" s="11" t="s">
        <v>109</v>
      </c>
      <c r="R217" s="11">
        <v>190.663514</v>
      </c>
      <c r="S217" s="11">
        <v>47.79</v>
      </c>
      <c r="T217" s="11">
        <v>100.0</v>
      </c>
      <c r="V217" s="11" t="s">
        <v>109</v>
      </c>
      <c r="W217" s="11">
        <v>254.860188</v>
      </c>
      <c r="X217" s="11">
        <v>58.45</v>
      </c>
      <c r="Y217" s="11">
        <v>100.0</v>
      </c>
    </row>
    <row r="218" ht="15.75" customHeight="1"/>
    <row r="219" ht="15.75" customHeight="1">
      <c r="L219" s="11" t="s">
        <v>32</v>
      </c>
      <c r="M219" s="11">
        <v>403.0</v>
      </c>
      <c r="N219" s="11">
        <v>100.0</v>
      </c>
      <c r="Q219" s="11" t="s">
        <v>32</v>
      </c>
      <c r="R219" s="11">
        <v>399.0</v>
      </c>
      <c r="S219" s="11">
        <v>100.0</v>
      </c>
      <c r="V219" s="11" t="s">
        <v>32</v>
      </c>
      <c r="W219" s="11">
        <v>436.0</v>
      </c>
      <c r="X219" s="11">
        <v>100.0</v>
      </c>
    </row>
    <row r="220" ht="15.75" customHeight="1"/>
    <row r="221" ht="15.75" customHeight="1">
      <c r="L221" s="22" t="s">
        <v>12</v>
      </c>
    </row>
    <row r="222" ht="15.75" customHeight="1">
      <c r="L222" s="11" t="s">
        <v>111</v>
      </c>
      <c r="M222" s="11" t="s">
        <v>23</v>
      </c>
      <c r="N222" s="11" t="s">
        <v>24</v>
      </c>
      <c r="O222" s="11" t="s">
        <v>25</v>
      </c>
      <c r="Q222" s="11" t="s">
        <v>117</v>
      </c>
      <c r="R222" s="11" t="s">
        <v>23</v>
      </c>
      <c r="S222" s="11" t="s">
        <v>24</v>
      </c>
      <c r="T222" s="11" t="s">
        <v>25</v>
      </c>
      <c r="V222" s="11" t="s">
        <v>118</v>
      </c>
      <c r="W222" s="11" t="s">
        <v>23</v>
      </c>
      <c r="X222" s="11" t="s">
        <v>24</v>
      </c>
      <c r="Y222" s="11" t="s">
        <v>25</v>
      </c>
    </row>
    <row r="223" ht="15.75" customHeight="1"/>
    <row r="224" ht="15.75" customHeight="1">
      <c r="L224" s="11" t="s">
        <v>110</v>
      </c>
      <c r="M224" s="11">
        <v>117.461723</v>
      </c>
      <c r="N224" s="11">
        <v>20.83</v>
      </c>
      <c r="O224" s="11">
        <v>20.83</v>
      </c>
      <c r="Q224" s="11" t="s">
        <v>110</v>
      </c>
      <c r="R224" s="11">
        <v>116.704983</v>
      </c>
      <c r="S224" s="11">
        <v>20.66</v>
      </c>
      <c r="T224" s="11">
        <v>20.66</v>
      </c>
      <c r="V224" s="11" t="s">
        <v>110</v>
      </c>
      <c r="W224" s="11">
        <v>91.9795872</v>
      </c>
      <c r="X224" s="11">
        <v>15.83</v>
      </c>
      <c r="Y224" s="11">
        <v>15.83</v>
      </c>
    </row>
    <row r="225" ht="15.75" customHeight="1">
      <c r="L225" s="11" t="s">
        <v>114</v>
      </c>
      <c r="M225" s="11">
        <v>89.3557696</v>
      </c>
      <c r="N225" s="11">
        <v>15.84</v>
      </c>
      <c r="O225" s="11">
        <v>36.67</v>
      </c>
      <c r="Q225" s="11" t="s">
        <v>114</v>
      </c>
      <c r="R225" s="11">
        <v>164.876575</v>
      </c>
      <c r="S225" s="11">
        <v>29.18</v>
      </c>
      <c r="T225" s="11">
        <v>49.84</v>
      </c>
      <c r="V225" s="11" t="s">
        <v>114</v>
      </c>
      <c r="W225" s="11">
        <v>84.2305406</v>
      </c>
      <c r="X225" s="11">
        <v>14.5</v>
      </c>
      <c r="Y225" s="11">
        <v>30.33</v>
      </c>
    </row>
    <row r="226" ht="15.75" customHeight="1">
      <c r="L226" s="11" t="s">
        <v>109</v>
      </c>
      <c r="M226" s="11">
        <v>357.182507</v>
      </c>
      <c r="N226" s="11">
        <v>63.33</v>
      </c>
      <c r="O226" s="11">
        <v>100.0</v>
      </c>
      <c r="Q226" s="11" t="s">
        <v>109</v>
      </c>
      <c r="R226" s="11">
        <v>283.418442</v>
      </c>
      <c r="S226" s="11">
        <v>50.16</v>
      </c>
      <c r="T226" s="11">
        <v>100.0</v>
      </c>
      <c r="V226" s="11" t="s">
        <v>109</v>
      </c>
      <c r="W226" s="11">
        <v>404.789872</v>
      </c>
      <c r="X226" s="11">
        <v>69.67</v>
      </c>
      <c r="Y226" s="11">
        <v>100.0</v>
      </c>
    </row>
    <row r="227" ht="15.75" customHeight="1"/>
    <row r="228" ht="15.75" customHeight="1">
      <c r="L228" s="11" t="s">
        <v>32</v>
      </c>
      <c r="M228" s="11">
        <v>564.0</v>
      </c>
      <c r="N228" s="11">
        <v>100.0</v>
      </c>
      <c r="Q228" s="11" t="s">
        <v>32</v>
      </c>
      <c r="R228" s="11">
        <v>565.0</v>
      </c>
      <c r="S228" s="11">
        <v>100.0</v>
      </c>
      <c r="V228" s="11" t="s">
        <v>32</v>
      </c>
      <c r="W228" s="11">
        <v>581.0</v>
      </c>
      <c r="X228" s="11">
        <v>100.0</v>
      </c>
    </row>
    <row r="229" ht="15.75" customHeight="1"/>
    <row r="230" ht="15.75" customHeight="1"/>
    <row r="231" ht="15.75" customHeight="1">
      <c r="L231" s="14" t="s">
        <v>7</v>
      </c>
      <c r="M231" s="15"/>
      <c r="N231" s="15"/>
      <c r="O231" s="15"/>
      <c r="P231" s="16"/>
    </row>
    <row r="232" ht="15.75" customHeight="1">
      <c r="L232" s="31" t="s">
        <v>134</v>
      </c>
      <c r="M232" s="15"/>
      <c r="N232" s="15"/>
      <c r="O232" s="16"/>
      <c r="Q232" s="31" t="s">
        <v>112</v>
      </c>
      <c r="R232" s="15"/>
      <c r="S232" s="15"/>
      <c r="T232" s="16"/>
      <c r="V232" s="31" t="s">
        <v>113</v>
      </c>
      <c r="W232" s="15"/>
      <c r="X232" s="15"/>
      <c r="Y232" s="16"/>
      <c r="AB232" s="8" t="s">
        <v>135</v>
      </c>
      <c r="AC232" s="8" t="s">
        <v>136</v>
      </c>
      <c r="AD232" s="8" t="s">
        <v>137</v>
      </c>
    </row>
    <row r="233" ht="15.75" customHeight="1">
      <c r="L233" s="11" t="s">
        <v>111</v>
      </c>
      <c r="M233" s="11" t="s">
        <v>23</v>
      </c>
      <c r="N233" s="11" t="s">
        <v>24</v>
      </c>
      <c r="O233" s="11" t="s">
        <v>25</v>
      </c>
      <c r="Q233" s="11" t="s">
        <v>117</v>
      </c>
      <c r="R233" s="11" t="s">
        <v>23</v>
      </c>
      <c r="S233" s="11" t="s">
        <v>24</v>
      </c>
      <c r="T233" s="11" t="s">
        <v>25</v>
      </c>
      <c r="V233" s="11" t="s">
        <v>118</v>
      </c>
      <c r="W233" s="11" t="s">
        <v>23</v>
      </c>
      <c r="X233" s="11" t="s">
        <v>24</v>
      </c>
      <c r="Y233" s="11" t="s">
        <v>25</v>
      </c>
      <c r="AA233" s="8" t="s">
        <v>139</v>
      </c>
      <c r="AB233" s="21">
        <f>N235</f>
        <v>29.28</v>
      </c>
      <c r="AC233" s="21">
        <f>S235</f>
        <v>22.52</v>
      </c>
      <c r="AD233" s="21">
        <f>X235</f>
        <v>18.19</v>
      </c>
    </row>
    <row r="234" ht="15.75" customHeight="1">
      <c r="L234" s="22" t="s">
        <v>140</v>
      </c>
      <c r="AA234" s="8" t="s">
        <v>141</v>
      </c>
      <c r="AB234" s="21">
        <f>N244</f>
        <v>33.12</v>
      </c>
      <c r="AC234" s="21">
        <f>S244</f>
        <v>32.32</v>
      </c>
      <c r="AD234" s="21">
        <f>X244</f>
        <v>26.3</v>
      </c>
    </row>
    <row r="235" ht="15.75" customHeight="1">
      <c r="L235" s="11" t="s">
        <v>110</v>
      </c>
      <c r="M235" s="11">
        <v>262.352492</v>
      </c>
      <c r="N235" s="11">
        <v>29.28</v>
      </c>
      <c r="O235" s="11">
        <v>29.28</v>
      </c>
      <c r="Q235" s="11" t="s">
        <v>110</v>
      </c>
      <c r="R235" s="11">
        <v>203.584637</v>
      </c>
      <c r="S235" s="11">
        <v>22.52</v>
      </c>
      <c r="T235" s="11">
        <v>22.52</v>
      </c>
      <c r="V235" s="11" t="s">
        <v>110</v>
      </c>
      <c r="W235" s="11">
        <v>178.417021</v>
      </c>
      <c r="X235" s="11">
        <v>18.19</v>
      </c>
      <c r="Y235" s="11">
        <v>18.19</v>
      </c>
    </row>
    <row r="236" ht="37.5" customHeight="1">
      <c r="L236" s="11" t="s">
        <v>114</v>
      </c>
      <c r="M236" s="11">
        <v>165.056184</v>
      </c>
      <c r="N236" s="11">
        <v>18.42</v>
      </c>
      <c r="O236" s="11">
        <v>47.7</v>
      </c>
      <c r="Q236" s="11" t="s">
        <v>114</v>
      </c>
      <c r="R236" s="11">
        <v>203.633718</v>
      </c>
      <c r="S236" s="11">
        <v>22.53</v>
      </c>
      <c r="T236" s="11">
        <v>45.05</v>
      </c>
      <c r="V236" s="11" t="s">
        <v>114</v>
      </c>
      <c r="W236" s="11">
        <v>130.82241</v>
      </c>
      <c r="X236" s="11">
        <v>13.34</v>
      </c>
      <c r="Y236" s="11">
        <v>31.52</v>
      </c>
      <c r="AA236" s="18" t="s">
        <v>142</v>
      </c>
    </row>
    <row r="237" ht="15.75" customHeight="1">
      <c r="L237" s="11" t="s">
        <v>109</v>
      </c>
      <c r="M237" s="11">
        <v>468.591324</v>
      </c>
      <c r="N237" s="11">
        <v>52.3</v>
      </c>
      <c r="O237" s="11">
        <v>100.0</v>
      </c>
      <c r="Q237" s="11" t="s">
        <v>109</v>
      </c>
      <c r="R237" s="11">
        <v>496.781645</v>
      </c>
      <c r="S237" s="11">
        <v>54.95</v>
      </c>
      <c r="T237" s="11">
        <v>100.0</v>
      </c>
      <c r="V237" s="11" t="s">
        <v>109</v>
      </c>
      <c r="W237" s="11">
        <v>671.760569</v>
      </c>
      <c r="X237" s="11">
        <v>68.48</v>
      </c>
      <c r="Y237" s="11">
        <v>100.0</v>
      </c>
    </row>
    <row r="238" ht="15.75" customHeight="1"/>
    <row r="239" ht="15.75" customHeight="1">
      <c r="L239" s="11" t="s">
        <v>32</v>
      </c>
      <c r="M239" s="11">
        <v>896.0</v>
      </c>
      <c r="N239" s="11">
        <v>100.0</v>
      </c>
      <c r="Q239" s="11" t="s">
        <v>32</v>
      </c>
      <c r="R239" s="11">
        <v>904.0</v>
      </c>
      <c r="S239" s="11">
        <v>100.0</v>
      </c>
      <c r="V239" s="11" t="s">
        <v>32</v>
      </c>
      <c r="W239" s="10">
        <v>981.0</v>
      </c>
      <c r="X239" s="11">
        <v>100.0</v>
      </c>
    </row>
    <row r="240" ht="15.75" customHeight="1"/>
    <row r="241" ht="15.75" customHeight="1">
      <c r="L241" s="22" t="s">
        <v>141</v>
      </c>
    </row>
    <row r="242" ht="15.75" customHeight="1">
      <c r="L242" s="11" t="s">
        <v>111</v>
      </c>
      <c r="M242" s="11" t="s">
        <v>23</v>
      </c>
      <c r="N242" s="11" t="s">
        <v>24</v>
      </c>
      <c r="O242" s="11" t="s">
        <v>25</v>
      </c>
      <c r="Q242" s="11" t="s">
        <v>117</v>
      </c>
      <c r="R242" s="11" t="s">
        <v>23</v>
      </c>
      <c r="S242" s="11" t="s">
        <v>24</v>
      </c>
      <c r="T242" s="11" t="s">
        <v>25</v>
      </c>
      <c r="V242" s="11" t="s">
        <v>118</v>
      </c>
      <c r="W242" s="11" t="s">
        <v>23</v>
      </c>
      <c r="X242" s="11" t="s">
        <v>24</v>
      </c>
      <c r="Y242" s="11" t="s">
        <v>25</v>
      </c>
    </row>
    <row r="243" ht="15.75" customHeight="1"/>
    <row r="244" ht="15.75" customHeight="1">
      <c r="L244" s="11" t="s">
        <v>110</v>
      </c>
      <c r="M244" s="11">
        <v>314.006778</v>
      </c>
      <c r="N244" s="11">
        <v>33.12</v>
      </c>
      <c r="O244" s="11">
        <v>33.12</v>
      </c>
      <c r="Q244" s="11" t="s">
        <v>110</v>
      </c>
      <c r="R244" s="11">
        <v>298.2862206</v>
      </c>
      <c r="S244" s="11">
        <v>32.32</v>
      </c>
      <c r="T244" s="11">
        <v>32.32</v>
      </c>
      <c r="V244" s="11" t="s">
        <v>110</v>
      </c>
      <c r="W244" s="11">
        <v>268.748384</v>
      </c>
      <c r="X244" s="11">
        <v>26.3</v>
      </c>
      <c r="Y244" s="11">
        <v>26.3</v>
      </c>
    </row>
    <row r="245" ht="15.75" customHeight="1">
      <c r="L245" s="11" t="s">
        <v>114</v>
      </c>
      <c r="M245" s="11">
        <v>193.143964</v>
      </c>
      <c r="N245" s="11">
        <v>20.37</v>
      </c>
      <c r="O245" s="11">
        <v>53.5</v>
      </c>
      <c r="Q245" s="11" t="s">
        <v>114</v>
      </c>
      <c r="R245" s="11">
        <v>263.594089</v>
      </c>
      <c r="S245" s="11">
        <v>28.56</v>
      </c>
      <c r="T245" s="11">
        <v>60.88</v>
      </c>
      <c r="V245" s="11" t="s">
        <v>114</v>
      </c>
      <c r="W245" s="11">
        <v>201.232349</v>
      </c>
      <c r="X245" s="11">
        <v>19.69</v>
      </c>
      <c r="Y245" s="11">
        <v>45.99</v>
      </c>
    </row>
    <row r="246" ht="15.75" customHeight="1">
      <c r="L246" s="11" t="s">
        <v>109</v>
      </c>
      <c r="M246" s="11">
        <v>440.849259</v>
      </c>
      <c r="N246" s="11">
        <v>46.5</v>
      </c>
      <c r="O246" s="11">
        <v>100.0</v>
      </c>
      <c r="Q246" s="11" t="s">
        <v>109</v>
      </c>
      <c r="R246" s="11">
        <v>361.119691</v>
      </c>
      <c r="S246" s="11">
        <v>39.12</v>
      </c>
      <c r="T246" s="11">
        <v>100.0</v>
      </c>
      <c r="V246" s="11" t="s">
        <v>109</v>
      </c>
      <c r="W246" s="11">
        <v>552.019268</v>
      </c>
      <c r="X246" s="11">
        <v>54.01</v>
      </c>
      <c r="Y246" s="11">
        <v>100.0</v>
      </c>
    </row>
    <row r="247" ht="15.75" customHeight="1"/>
    <row r="248" ht="15.75" customHeight="1">
      <c r="L248" s="11" t="s">
        <v>32</v>
      </c>
      <c r="M248" s="11">
        <v>948.0</v>
      </c>
      <c r="N248" s="11">
        <v>100.0</v>
      </c>
      <c r="Q248" s="11" t="s">
        <v>32</v>
      </c>
      <c r="R248" s="11">
        <v>923.0</v>
      </c>
      <c r="S248" s="11">
        <v>100.0</v>
      </c>
      <c r="V248" s="11" t="s">
        <v>32</v>
      </c>
      <c r="W248" s="11">
        <v>1022.0</v>
      </c>
      <c r="X248" s="11">
        <v>100.0</v>
      </c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L3:P3"/>
    <mergeCell ref="B4:E4"/>
    <mergeCell ref="F10:K10"/>
    <mergeCell ref="Q10:Z10"/>
    <mergeCell ref="L30:O30"/>
    <mergeCell ref="R34:AA34"/>
    <mergeCell ref="L106:O106"/>
    <mergeCell ref="Q232:T232"/>
    <mergeCell ref="V232:Y232"/>
    <mergeCell ref="AA236:AJ236"/>
    <mergeCell ref="L183:P183"/>
    <mergeCell ref="L184:O184"/>
    <mergeCell ref="Q184:T184"/>
    <mergeCell ref="V184:Y184"/>
    <mergeCell ref="AB191:AK191"/>
    <mergeCell ref="L231:P231"/>
    <mergeCell ref="L232:O23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5.14"/>
    <col customWidth="1" min="3" max="5" width="8.71"/>
    <col customWidth="1" min="6" max="6" width="27.29"/>
    <col customWidth="1" min="7" max="7" width="18.14"/>
    <col customWidth="1" min="8" max="8" width="20.29"/>
    <col customWidth="1" min="9" max="16" width="8.71"/>
    <col customWidth="1" min="17" max="17" width="10.57"/>
    <col customWidth="1" min="18" max="26" width="8.71"/>
  </cols>
  <sheetData>
    <row r="1">
      <c r="A1" s="1" t="s">
        <v>0</v>
      </c>
      <c r="B1" s="2">
        <v>45635.0</v>
      </c>
    </row>
    <row r="2">
      <c r="A2" s="5" t="s">
        <v>143</v>
      </c>
      <c r="B2" s="6"/>
    </row>
    <row r="3">
      <c r="A3" s="5"/>
      <c r="B3" s="6"/>
    </row>
    <row r="4">
      <c r="A4" s="31" t="s">
        <v>144</v>
      </c>
      <c r="B4" s="15"/>
      <c r="C4" s="15"/>
      <c r="D4" s="15"/>
      <c r="E4" s="15"/>
      <c r="F4" s="15"/>
      <c r="G4" s="16"/>
      <c r="I4" s="31" t="s">
        <v>145</v>
      </c>
      <c r="J4" s="15"/>
      <c r="K4" s="15"/>
      <c r="L4" s="15"/>
      <c r="M4" s="15"/>
      <c r="N4" s="15"/>
      <c r="O4" s="16"/>
      <c r="Q4" s="8" t="s">
        <v>3</v>
      </c>
      <c r="R4" s="8"/>
      <c r="S4" s="8" t="s">
        <v>144</v>
      </c>
      <c r="T4" s="8" t="s">
        <v>145</v>
      </c>
    </row>
    <row r="5">
      <c r="A5" s="30" t="s">
        <v>120</v>
      </c>
      <c r="B5" s="30">
        <v>1.0</v>
      </c>
      <c r="I5" s="30" t="s">
        <v>120</v>
      </c>
      <c r="J5" s="30">
        <v>1.0</v>
      </c>
      <c r="Q5" s="10" t="s">
        <v>98</v>
      </c>
      <c r="R5" s="11">
        <v>2002.0</v>
      </c>
      <c r="S5" s="27">
        <f>D9</f>
        <v>7.426729</v>
      </c>
      <c r="T5" s="27">
        <f>L9</f>
        <v>7.862669</v>
      </c>
    </row>
    <row r="6">
      <c r="Q6" s="11" t="s">
        <v>99</v>
      </c>
      <c r="R6" s="11">
        <v>2004.0</v>
      </c>
      <c r="S6" s="27">
        <f>D16</f>
        <v>7.666996</v>
      </c>
      <c r="T6" s="27">
        <f>L16</f>
        <v>7.931704</v>
      </c>
    </row>
    <row r="7">
      <c r="A7" s="11" t="s">
        <v>122</v>
      </c>
      <c r="B7" s="11" t="s">
        <v>123</v>
      </c>
      <c r="C7" s="11" t="s">
        <v>124</v>
      </c>
      <c r="D7" s="11" t="s">
        <v>125</v>
      </c>
      <c r="E7" s="11" t="s">
        <v>126</v>
      </c>
      <c r="F7" s="11" t="s">
        <v>127</v>
      </c>
      <c r="G7" s="11" t="s">
        <v>128</v>
      </c>
      <c r="I7" s="11" t="s">
        <v>122</v>
      </c>
      <c r="J7" s="11" t="s">
        <v>123</v>
      </c>
      <c r="K7" s="11" t="s">
        <v>124</v>
      </c>
      <c r="L7" s="11" t="s">
        <v>125</v>
      </c>
      <c r="M7" s="11" t="s">
        <v>126</v>
      </c>
      <c r="N7" s="11" t="s">
        <v>127</v>
      </c>
      <c r="O7" s="11" t="s">
        <v>128</v>
      </c>
      <c r="Q7" s="10" t="s">
        <v>100</v>
      </c>
      <c r="R7" s="11">
        <v>2006.0</v>
      </c>
      <c r="S7" s="27">
        <f>D23</f>
        <v>7.512559</v>
      </c>
      <c r="T7" s="27">
        <f>L23</f>
        <v>7.764408</v>
      </c>
    </row>
    <row r="8">
      <c r="Q8" s="10" t="s">
        <v>101</v>
      </c>
      <c r="R8" s="11">
        <v>2008.0</v>
      </c>
      <c r="S8" s="27">
        <f>D30</f>
        <v>7.082635</v>
      </c>
      <c r="T8" s="27">
        <f>L30</f>
        <v>7.509122</v>
      </c>
    </row>
    <row r="9">
      <c r="A9" s="11" t="s">
        <v>146</v>
      </c>
      <c r="B9" s="10">
        <v>2026.0</v>
      </c>
      <c r="C9" s="11">
        <v>305.011445</v>
      </c>
      <c r="D9" s="11">
        <v>7.426729</v>
      </c>
      <c r="E9" s="11">
        <v>2.05866</v>
      </c>
      <c r="F9" s="11">
        <v>0.0</v>
      </c>
      <c r="G9" s="11">
        <v>10.0</v>
      </c>
      <c r="I9" s="11" t="s">
        <v>147</v>
      </c>
      <c r="J9" s="10">
        <v>2033.0</v>
      </c>
      <c r="K9" s="11">
        <v>305.445541</v>
      </c>
      <c r="L9" s="11">
        <v>7.862669</v>
      </c>
      <c r="M9" s="11">
        <v>1.77385</v>
      </c>
      <c r="N9" s="11">
        <v>0.0</v>
      </c>
      <c r="O9" s="11">
        <v>10.0</v>
      </c>
      <c r="Q9" s="10" t="s">
        <v>102</v>
      </c>
      <c r="R9" s="11">
        <v>2010.0</v>
      </c>
      <c r="S9" s="27">
        <f>D37</f>
        <v>6.614344</v>
      </c>
      <c r="T9" s="27">
        <f>L37</f>
        <v>7.03601</v>
      </c>
    </row>
    <row r="10">
      <c r="Q10" s="10" t="s">
        <v>103</v>
      </c>
      <c r="R10" s="11">
        <v>2012.0</v>
      </c>
      <c r="S10" s="27">
        <f>D44</f>
        <v>6.791781</v>
      </c>
      <c r="T10" s="27">
        <f>L44</f>
        <v>7.153672</v>
      </c>
    </row>
    <row r="11">
      <c r="Q11" s="10" t="s">
        <v>104</v>
      </c>
      <c r="R11" s="11">
        <v>2014.0</v>
      </c>
      <c r="S11" s="27">
        <f>D51</f>
        <v>7.055589</v>
      </c>
      <c r="T11" s="27">
        <f>L51</f>
        <v>7.331085</v>
      </c>
    </row>
    <row r="12">
      <c r="A12" s="30" t="s">
        <v>120</v>
      </c>
      <c r="B12" s="30">
        <v>2.0</v>
      </c>
      <c r="I12" s="30" t="s">
        <v>120</v>
      </c>
      <c r="J12" s="30">
        <v>2.0</v>
      </c>
      <c r="Q12" s="10" t="s">
        <v>105</v>
      </c>
      <c r="R12" s="11">
        <v>2016.0</v>
      </c>
      <c r="S12" s="27">
        <f>D58</f>
        <v>7.270057</v>
      </c>
      <c r="T12" s="27">
        <f>L58</f>
        <v>7.550253</v>
      </c>
    </row>
    <row r="13">
      <c r="Q13" s="10" t="s">
        <v>106</v>
      </c>
      <c r="R13" s="11">
        <v>2018.0</v>
      </c>
      <c r="S13" s="27">
        <f>D65</f>
        <v>7.215164</v>
      </c>
      <c r="T13" s="27">
        <f>L65</f>
        <v>7.728806</v>
      </c>
    </row>
    <row r="14">
      <c r="A14" s="11" t="s">
        <v>122</v>
      </c>
      <c r="B14" s="11" t="s">
        <v>123</v>
      </c>
      <c r="C14" s="11" t="s">
        <v>124</v>
      </c>
      <c r="D14" s="11" t="s">
        <v>125</v>
      </c>
      <c r="E14" s="11" t="s">
        <v>126</v>
      </c>
      <c r="F14" s="11" t="s">
        <v>127</v>
      </c>
      <c r="G14" s="11" t="s">
        <v>128</v>
      </c>
      <c r="I14" s="11" t="s">
        <v>122</v>
      </c>
      <c r="J14" s="11" t="s">
        <v>123</v>
      </c>
      <c r="K14" s="11" t="s">
        <v>124</v>
      </c>
      <c r="L14" s="11" t="s">
        <v>125</v>
      </c>
      <c r="M14" s="11" t="s">
        <v>126</v>
      </c>
      <c r="N14" s="11" t="s">
        <v>127</v>
      </c>
      <c r="O14" s="11" t="s">
        <v>128</v>
      </c>
      <c r="Q14" s="10" t="s">
        <v>148</v>
      </c>
      <c r="R14" s="11" t="s">
        <v>42</v>
      </c>
      <c r="S14" s="27">
        <f>D71</f>
        <v>7.358192</v>
      </c>
      <c r="T14" s="27">
        <f>L71</f>
        <v>7.572999</v>
      </c>
    </row>
    <row r="15">
      <c r="Q15" s="10" t="s">
        <v>149</v>
      </c>
      <c r="R15" s="11">
        <v>2023.0</v>
      </c>
      <c r="S15" s="27">
        <f>D77</f>
        <v>7.383146</v>
      </c>
      <c r="T15" s="27">
        <f>L77</f>
        <v>7.712034</v>
      </c>
    </row>
    <row r="16" ht="38.25" customHeight="1">
      <c r="A16" s="11" t="s">
        <v>146</v>
      </c>
      <c r="B16" s="10">
        <v>2278.0</v>
      </c>
      <c r="C16" s="11">
        <v>317.678271</v>
      </c>
      <c r="D16" s="11">
        <v>7.666996</v>
      </c>
      <c r="E16" s="11">
        <v>1.738143</v>
      </c>
      <c r="F16" s="11">
        <v>0.0</v>
      </c>
      <c r="G16" s="11">
        <v>10.0</v>
      </c>
      <c r="I16" s="11" t="s">
        <v>147</v>
      </c>
      <c r="J16" s="10">
        <v>2274.0</v>
      </c>
      <c r="K16" s="11">
        <v>316.304671</v>
      </c>
      <c r="L16" s="11">
        <v>7.931704</v>
      </c>
      <c r="M16" s="11">
        <v>1.653348</v>
      </c>
      <c r="N16" s="11">
        <v>0.0</v>
      </c>
      <c r="O16" s="11">
        <v>10.0</v>
      </c>
      <c r="Q16" s="18" t="s">
        <v>150</v>
      </c>
    </row>
    <row r="19">
      <c r="A19" s="30" t="s">
        <v>120</v>
      </c>
      <c r="B19" s="30">
        <v>3.0</v>
      </c>
      <c r="I19" s="11" t="s">
        <v>120</v>
      </c>
      <c r="J19" s="30">
        <v>3.0</v>
      </c>
    </row>
    <row r="21" ht="15.75" customHeight="1">
      <c r="A21" s="11" t="s">
        <v>122</v>
      </c>
      <c r="B21" s="11" t="s">
        <v>123</v>
      </c>
      <c r="C21" s="11" t="s">
        <v>124</v>
      </c>
      <c r="D21" s="11" t="s">
        <v>125</v>
      </c>
      <c r="E21" s="11" t="s">
        <v>126</v>
      </c>
      <c r="F21" s="11" t="s">
        <v>127</v>
      </c>
      <c r="G21" s="11" t="s">
        <v>128</v>
      </c>
      <c r="I21" s="11" t="s">
        <v>122</v>
      </c>
      <c r="J21" s="11" t="s">
        <v>123</v>
      </c>
      <c r="K21" s="11" t="s">
        <v>124</v>
      </c>
      <c r="L21" s="11" t="s">
        <v>125</v>
      </c>
      <c r="M21" s="11" t="s">
        <v>126</v>
      </c>
      <c r="N21" s="11" t="s">
        <v>127</v>
      </c>
      <c r="O21" s="11" t="s">
        <v>128</v>
      </c>
    </row>
    <row r="22" ht="15.75" customHeight="1"/>
    <row r="23" ht="15.75" customHeight="1">
      <c r="A23" s="11" t="s">
        <v>146</v>
      </c>
      <c r="B23" s="10">
        <v>1790.0</v>
      </c>
      <c r="C23" s="11">
        <v>335.028118</v>
      </c>
      <c r="D23" s="11">
        <v>7.512559</v>
      </c>
      <c r="E23" s="11">
        <v>1.936441</v>
      </c>
      <c r="F23" s="11">
        <v>0.0</v>
      </c>
      <c r="G23" s="11">
        <v>10.0</v>
      </c>
      <c r="I23" s="11" t="s">
        <v>147</v>
      </c>
      <c r="J23" s="10">
        <v>1794.0</v>
      </c>
      <c r="K23" s="11">
        <v>335.924885</v>
      </c>
      <c r="L23" s="11">
        <v>7.764408</v>
      </c>
      <c r="M23" s="11">
        <v>1.769354</v>
      </c>
      <c r="N23" s="11">
        <v>0.0</v>
      </c>
      <c r="O23" s="11">
        <v>10.0</v>
      </c>
    </row>
    <row r="24" ht="15.75" customHeight="1"/>
    <row r="25" ht="15.75" customHeight="1"/>
    <row r="26" ht="15.75" customHeight="1">
      <c r="A26" s="30" t="s">
        <v>120</v>
      </c>
      <c r="B26" s="30">
        <v>4.0</v>
      </c>
      <c r="I26" s="30" t="s">
        <v>120</v>
      </c>
      <c r="J26" s="30">
        <v>4.0</v>
      </c>
    </row>
    <row r="27" ht="15.75" customHeight="1"/>
    <row r="28" ht="15.75" customHeight="1">
      <c r="A28" s="11" t="s">
        <v>122</v>
      </c>
      <c r="B28" s="11" t="s">
        <v>123</v>
      </c>
      <c r="C28" s="11" t="s">
        <v>124</v>
      </c>
      <c r="D28" s="11" t="s">
        <v>125</v>
      </c>
      <c r="E28" s="11" t="s">
        <v>126</v>
      </c>
      <c r="F28" s="11" t="s">
        <v>127</v>
      </c>
      <c r="G28" s="11" t="s">
        <v>128</v>
      </c>
      <c r="I28" s="11" t="s">
        <v>122</v>
      </c>
      <c r="J28" s="11" t="s">
        <v>123</v>
      </c>
      <c r="K28" s="11" t="s">
        <v>124</v>
      </c>
      <c r="L28" s="11" t="s">
        <v>125</v>
      </c>
      <c r="M28" s="11" t="s">
        <v>126</v>
      </c>
      <c r="N28" s="11" t="s">
        <v>127</v>
      </c>
      <c r="O28" s="11" t="s">
        <v>128</v>
      </c>
    </row>
    <row r="29" ht="15.75" customHeight="1"/>
    <row r="30" ht="15.75" customHeight="1">
      <c r="A30" s="11" t="s">
        <v>146</v>
      </c>
      <c r="B30" s="10">
        <v>1762.0</v>
      </c>
      <c r="C30" s="11">
        <v>349.205276</v>
      </c>
      <c r="D30" s="11">
        <v>7.082635</v>
      </c>
      <c r="E30" s="11">
        <v>2.096138</v>
      </c>
      <c r="F30" s="11">
        <v>0.0</v>
      </c>
      <c r="G30" s="11">
        <v>10.0</v>
      </c>
      <c r="I30" s="11" t="s">
        <v>147</v>
      </c>
      <c r="J30" s="10">
        <v>1764.0</v>
      </c>
      <c r="K30" s="11">
        <v>349.6233</v>
      </c>
      <c r="L30" s="11">
        <v>7.509122</v>
      </c>
      <c r="M30" s="11">
        <v>1.799238</v>
      </c>
      <c r="N30" s="11">
        <v>0.0</v>
      </c>
      <c r="O30" s="11">
        <v>10.0</v>
      </c>
    </row>
    <row r="31" ht="15.75" customHeight="1"/>
    <row r="32" ht="15.75" customHeight="1"/>
    <row r="33" ht="15.75" customHeight="1">
      <c r="A33" s="30" t="s">
        <v>120</v>
      </c>
      <c r="B33" s="30">
        <v>5.0</v>
      </c>
      <c r="I33" s="30" t="s">
        <v>120</v>
      </c>
      <c r="J33" s="30">
        <v>5.0</v>
      </c>
    </row>
    <row r="34" ht="15.75" customHeight="1"/>
    <row r="35" ht="15.75" customHeight="1">
      <c r="A35" s="11" t="s">
        <v>122</v>
      </c>
      <c r="B35" s="11" t="s">
        <v>123</v>
      </c>
      <c r="C35" s="11" t="s">
        <v>124</v>
      </c>
      <c r="D35" s="11" t="s">
        <v>125</v>
      </c>
      <c r="E35" s="11" t="s">
        <v>126</v>
      </c>
      <c r="F35" s="11" t="s">
        <v>127</v>
      </c>
      <c r="G35" s="11" t="s">
        <v>128</v>
      </c>
      <c r="I35" s="11" t="s">
        <v>122</v>
      </c>
      <c r="J35" s="11" t="s">
        <v>123</v>
      </c>
      <c r="K35" s="11" t="s">
        <v>124</v>
      </c>
      <c r="L35" s="11" t="s">
        <v>125</v>
      </c>
      <c r="M35" s="11" t="s">
        <v>126</v>
      </c>
      <c r="N35" s="11" t="s">
        <v>127</v>
      </c>
      <c r="O35" s="11" t="s">
        <v>128</v>
      </c>
    </row>
    <row r="36" ht="15.75" customHeight="1"/>
    <row r="37" ht="15.75" customHeight="1">
      <c r="A37" s="11" t="s">
        <v>146</v>
      </c>
      <c r="B37" s="10">
        <v>2572.0</v>
      </c>
      <c r="C37" s="11">
        <v>350.961029</v>
      </c>
      <c r="D37" s="11">
        <v>6.614344</v>
      </c>
      <c r="E37" s="11">
        <v>2.257702</v>
      </c>
      <c r="F37" s="11">
        <v>0.0</v>
      </c>
      <c r="G37" s="11">
        <v>10.0</v>
      </c>
      <c r="I37" s="11" t="s">
        <v>147</v>
      </c>
      <c r="J37" s="10">
        <v>2570.0</v>
      </c>
      <c r="K37" s="11">
        <v>350.788234</v>
      </c>
      <c r="L37" s="11">
        <v>7.03601</v>
      </c>
      <c r="M37" s="11">
        <v>2.062214</v>
      </c>
      <c r="N37" s="11">
        <v>0.0</v>
      </c>
      <c r="O37" s="11">
        <v>10.0</v>
      </c>
    </row>
    <row r="38" ht="15.75" customHeight="1"/>
    <row r="39" ht="15.75" customHeight="1"/>
    <row r="40" ht="15.75" customHeight="1">
      <c r="A40" s="30" t="s">
        <v>120</v>
      </c>
      <c r="B40" s="30">
        <v>6.0</v>
      </c>
      <c r="I40" s="30" t="s">
        <v>120</v>
      </c>
      <c r="J40" s="30">
        <v>6.0</v>
      </c>
    </row>
    <row r="41" ht="15.75" customHeight="1"/>
    <row r="42" ht="15.75" customHeight="1">
      <c r="A42" s="11" t="s">
        <v>122</v>
      </c>
      <c r="B42" s="11" t="s">
        <v>123</v>
      </c>
      <c r="C42" s="11" t="s">
        <v>124</v>
      </c>
      <c r="D42" s="11" t="s">
        <v>125</v>
      </c>
      <c r="E42" s="11" t="s">
        <v>126</v>
      </c>
      <c r="F42" s="11" t="s">
        <v>127</v>
      </c>
      <c r="G42" s="11" t="s">
        <v>128</v>
      </c>
      <c r="I42" s="11" t="s">
        <v>122</v>
      </c>
      <c r="J42" s="11" t="s">
        <v>123</v>
      </c>
      <c r="K42" s="11" t="s">
        <v>124</v>
      </c>
      <c r="L42" s="11" t="s">
        <v>125</v>
      </c>
      <c r="M42" s="11" t="s">
        <v>126</v>
      </c>
      <c r="N42" s="11" t="s">
        <v>127</v>
      </c>
      <c r="O42" s="11" t="s">
        <v>128</v>
      </c>
    </row>
    <row r="43" ht="15.75" customHeight="1"/>
    <row r="44" ht="15.75" customHeight="1">
      <c r="A44" s="11" t="s">
        <v>146</v>
      </c>
      <c r="B44" s="10">
        <v>2618.0</v>
      </c>
      <c r="C44" s="11">
        <v>358.187244</v>
      </c>
      <c r="D44" s="11">
        <v>6.791781</v>
      </c>
      <c r="E44" s="11">
        <v>2.229031</v>
      </c>
      <c r="F44" s="11">
        <v>0.0</v>
      </c>
      <c r="G44" s="11">
        <v>10.0</v>
      </c>
      <c r="I44" s="11" t="s">
        <v>147</v>
      </c>
      <c r="J44" s="10">
        <v>2621.0</v>
      </c>
      <c r="K44" s="11">
        <v>357.973732</v>
      </c>
      <c r="L44" s="11">
        <v>7.153672</v>
      </c>
      <c r="M44" s="11">
        <v>1.924543</v>
      </c>
      <c r="N44" s="11">
        <v>0.0</v>
      </c>
      <c r="O44" s="11">
        <v>10.0</v>
      </c>
    </row>
    <row r="45" ht="15.75" customHeight="1"/>
    <row r="46" ht="15.75" customHeight="1"/>
    <row r="47" ht="15.75" customHeight="1">
      <c r="A47" s="30" t="s">
        <v>120</v>
      </c>
      <c r="B47" s="30">
        <v>7.0</v>
      </c>
      <c r="I47" s="30" t="s">
        <v>120</v>
      </c>
      <c r="J47" s="30">
        <v>7.0</v>
      </c>
    </row>
    <row r="48" ht="15.75" customHeight="1"/>
    <row r="49" ht="15.75" customHeight="1">
      <c r="A49" s="11" t="s">
        <v>122</v>
      </c>
      <c r="B49" s="11" t="s">
        <v>123</v>
      </c>
      <c r="C49" s="11" t="s">
        <v>124</v>
      </c>
      <c r="D49" s="11" t="s">
        <v>125</v>
      </c>
      <c r="E49" s="11" t="s">
        <v>126</v>
      </c>
      <c r="F49" s="11" t="s">
        <v>127</v>
      </c>
      <c r="G49" s="11" t="s">
        <v>128</v>
      </c>
      <c r="I49" s="11" t="s">
        <v>122</v>
      </c>
      <c r="J49" s="11" t="s">
        <v>123</v>
      </c>
      <c r="K49" s="11" t="s">
        <v>124</v>
      </c>
      <c r="L49" s="11" t="s">
        <v>125</v>
      </c>
      <c r="M49" s="11" t="s">
        <v>126</v>
      </c>
      <c r="N49" s="11" t="s">
        <v>127</v>
      </c>
      <c r="O49" s="11" t="s">
        <v>128</v>
      </c>
    </row>
    <row r="50" ht="15.75" customHeight="1"/>
    <row r="51" ht="15.75" customHeight="1">
      <c r="A51" s="11" t="s">
        <v>146</v>
      </c>
      <c r="B51" s="10">
        <v>2381.0</v>
      </c>
      <c r="C51" s="11">
        <v>357.495647</v>
      </c>
      <c r="D51" s="11">
        <v>7.055589</v>
      </c>
      <c r="E51" s="11">
        <v>2.009668</v>
      </c>
      <c r="F51" s="11">
        <v>0.0</v>
      </c>
      <c r="G51" s="11">
        <v>10.0</v>
      </c>
      <c r="I51" s="11" t="s">
        <v>147</v>
      </c>
      <c r="J51" s="10">
        <v>2386.0</v>
      </c>
      <c r="K51" s="11">
        <v>358.537178</v>
      </c>
      <c r="L51" s="11">
        <v>7.331085</v>
      </c>
      <c r="M51" s="11">
        <v>1.843568</v>
      </c>
      <c r="N51" s="11">
        <v>0.0</v>
      </c>
      <c r="O51" s="11">
        <v>10.0</v>
      </c>
    </row>
    <row r="52" ht="15.75" customHeight="1"/>
    <row r="53" ht="15.75" customHeight="1"/>
    <row r="54" ht="15.75" customHeight="1">
      <c r="A54" s="30" t="s">
        <v>120</v>
      </c>
      <c r="B54" s="30">
        <v>8.0</v>
      </c>
      <c r="I54" s="30" t="s">
        <v>120</v>
      </c>
      <c r="J54" s="30">
        <v>8.0</v>
      </c>
    </row>
    <row r="55" ht="15.75" customHeight="1"/>
    <row r="56" ht="15.75" customHeight="1">
      <c r="A56" s="11" t="s">
        <v>122</v>
      </c>
      <c r="B56" s="11" t="s">
        <v>123</v>
      </c>
      <c r="C56" s="11" t="s">
        <v>124</v>
      </c>
      <c r="D56" s="11" t="s">
        <v>125</v>
      </c>
      <c r="E56" s="11" t="s">
        <v>126</v>
      </c>
      <c r="F56" s="11" t="s">
        <v>127</v>
      </c>
      <c r="G56" s="11" t="s">
        <v>128</v>
      </c>
      <c r="I56" s="11" t="s">
        <v>122</v>
      </c>
      <c r="J56" s="11" t="s">
        <v>123</v>
      </c>
      <c r="K56" s="11" t="s">
        <v>124</v>
      </c>
      <c r="L56" s="11" t="s">
        <v>125</v>
      </c>
      <c r="M56" s="11" t="s">
        <v>126</v>
      </c>
      <c r="N56" s="11" t="s">
        <v>127</v>
      </c>
      <c r="O56" s="11" t="s">
        <v>128</v>
      </c>
    </row>
    <row r="57" ht="15.75" customHeight="1"/>
    <row r="58" ht="15.75" customHeight="1">
      <c r="A58" s="11" t="s">
        <v>146</v>
      </c>
      <c r="B58" s="10">
        <v>2752.0</v>
      </c>
      <c r="C58" s="11">
        <v>368.141289</v>
      </c>
      <c r="D58" s="11">
        <v>7.270057</v>
      </c>
      <c r="E58" s="11">
        <v>1.847668</v>
      </c>
      <c r="F58" s="11">
        <v>0.0</v>
      </c>
      <c r="G58" s="11">
        <v>10.0</v>
      </c>
      <c r="I58" s="11" t="s">
        <v>147</v>
      </c>
      <c r="J58" s="10">
        <v>2756.0</v>
      </c>
      <c r="K58" s="11">
        <v>368.645731</v>
      </c>
      <c r="L58" s="11">
        <v>7.550253</v>
      </c>
      <c r="M58" s="11">
        <v>1.710251</v>
      </c>
      <c r="N58" s="11">
        <v>0.0</v>
      </c>
      <c r="O58" s="11">
        <v>10.0</v>
      </c>
    </row>
    <row r="59" ht="15.75" customHeight="1"/>
    <row r="60" ht="15.75" customHeight="1"/>
    <row r="61" ht="15.75" customHeight="1">
      <c r="A61" s="30" t="s">
        <v>120</v>
      </c>
      <c r="B61" s="30">
        <v>9.0</v>
      </c>
      <c r="I61" s="30" t="s">
        <v>120</v>
      </c>
      <c r="J61" s="30">
        <v>9.0</v>
      </c>
    </row>
    <row r="62" ht="15.75" customHeight="1"/>
    <row r="63" ht="15.75" customHeight="1">
      <c r="A63" s="11" t="s">
        <v>122</v>
      </c>
      <c r="B63" s="11" t="s">
        <v>123</v>
      </c>
      <c r="C63" s="11" t="s">
        <v>124</v>
      </c>
      <c r="D63" s="11" t="s">
        <v>125</v>
      </c>
      <c r="E63" s="11" t="s">
        <v>126</v>
      </c>
      <c r="F63" s="11" t="s">
        <v>127</v>
      </c>
      <c r="G63" s="11" t="s">
        <v>128</v>
      </c>
      <c r="I63" s="11" t="s">
        <v>122</v>
      </c>
      <c r="J63" s="11" t="s">
        <v>123</v>
      </c>
      <c r="K63" s="11" t="s">
        <v>124</v>
      </c>
      <c r="L63" s="11" t="s">
        <v>125</v>
      </c>
      <c r="M63" s="11" t="s">
        <v>126</v>
      </c>
      <c r="N63" s="11" t="s">
        <v>127</v>
      </c>
      <c r="O63" s="11" t="s">
        <v>128</v>
      </c>
    </row>
    <row r="64" ht="15.75" customHeight="1"/>
    <row r="65" ht="15.75" customHeight="1">
      <c r="A65" s="11" t="s">
        <v>146</v>
      </c>
      <c r="B65" s="10">
        <v>2195.0</v>
      </c>
      <c r="C65" s="11">
        <v>378.496106</v>
      </c>
      <c r="D65" s="11">
        <v>7.215164</v>
      </c>
      <c r="E65" s="11">
        <v>1.918347</v>
      </c>
      <c r="F65" s="11">
        <v>0.0</v>
      </c>
      <c r="G65" s="11">
        <v>10.0</v>
      </c>
      <c r="I65" s="11" t="s">
        <v>147</v>
      </c>
      <c r="J65" s="10">
        <v>2213.0</v>
      </c>
      <c r="K65" s="11">
        <v>381.893392</v>
      </c>
      <c r="L65" s="11">
        <v>7.728806</v>
      </c>
      <c r="M65" s="11">
        <v>1.623075</v>
      </c>
      <c r="N65" s="11">
        <v>0.0</v>
      </c>
      <c r="O65" s="11">
        <v>10.0</v>
      </c>
    </row>
    <row r="66" ht="15.75" customHeight="1"/>
    <row r="67" ht="15.75" customHeight="1">
      <c r="A67" s="30" t="s">
        <v>120</v>
      </c>
      <c r="B67" s="30">
        <v>10.0</v>
      </c>
      <c r="I67" s="30" t="s">
        <v>120</v>
      </c>
      <c r="J67" s="30">
        <v>10.0</v>
      </c>
    </row>
    <row r="68" ht="15.75" customHeight="1"/>
    <row r="69" ht="15.75" customHeight="1">
      <c r="A69" s="11" t="s">
        <v>122</v>
      </c>
      <c r="B69" s="11" t="s">
        <v>123</v>
      </c>
      <c r="C69" s="11" t="s">
        <v>124</v>
      </c>
      <c r="D69" s="11" t="s">
        <v>125</v>
      </c>
      <c r="E69" s="11" t="s">
        <v>126</v>
      </c>
      <c r="F69" s="11" t="s">
        <v>127</v>
      </c>
      <c r="G69" s="11" t="s">
        <v>128</v>
      </c>
      <c r="I69" s="11" t="s">
        <v>122</v>
      </c>
      <c r="J69" s="11" t="s">
        <v>123</v>
      </c>
      <c r="K69" s="11" t="s">
        <v>124</v>
      </c>
      <c r="L69" s="11" t="s">
        <v>125</v>
      </c>
      <c r="M69" s="11" t="s">
        <v>126</v>
      </c>
      <c r="N69" s="11" t="s">
        <v>127</v>
      </c>
      <c r="O69" s="11" t="s">
        <v>128</v>
      </c>
    </row>
    <row r="70" ht="15.75" customHeight="1"/>
    <row r="71" ht="15.75" customHeight="1">
      <c r="A71" s="11" t="s">
        <v>146</v>
      </c>
      <c r="B71" s="10">
        <v>1759.0</v>
      </c>
      <c r="C71" s="11">
        <v>397.865458</v>
      </c>
      <c r="D71" s="11">
        <v>7.358192</v>
      </c>
      <c r="E71" s="11">
        <v>1.895472</v>
      </c>
      <c r="F71" s="11">
        <v>0.0</v>
      </c>
      <c r="G71" s="11">
        <v>10.0</v>
      </c>
      <c r="I71" s="11" t="s">
        <v>147</v>
      </c>
      <c r="J71" s="10">
        <v>1764.0</v>
      </c>
      <c r="K71" s="11">
        <v>399.788319</v>
      </c>
      <c r="L71" s="11">
        <v>7.572999</v>
      </c>
      <c r="M71" s="11">
        <v>1.691439</v>
      </c>
      <c r="N71" s="11">
        <v>0.0</v>
      </c>
      <c r="O71" s="11">
        <v>10.0</v>
      </c>
    </row>
    <row r="72" ht="15.75" customHeight="1">
      <c r="B72" s="10"/>
      <c r="J72" s="10"/>
    </row>
    <row r="73" ht="15.75" customHeight="1">
      <c r="A73" s="37" t="s">
        <v>120</v>
      </c>
      <c r="B73" s="30">
        <v>11.0</v>
      </c>
      <c r="I73" s="37" t="s">
        <v>120</v>
      </c>
      <c r="J73" s="30">
        <v>11.0</v>
      </c>
    </row>
    <row r="74" ht="15.75" customHeight="1">
      <c r="B74" s="10"/>
      <c r="I74" s="10"/>
    </row>
    <row r="75" ht="15.75" customHeight="1">
      <c r="A75" s="10" t="s">
        <v>122</v>
      </c>
      <c r="B75" s="11" t="s">
        <v>123</v>
      </c>
      <c r="C75" s="11" t="s">
        <v>124</v>
      </c>
      <c r="D75" s="11" t="s">
        <v>125</v>
      </c>
      <c r="E75" s="11" t="s">
        <v>126</v>
      </c>
      <c r="F75" s="11" t="s">
        <v>127</v>
      </c>
      <c r="G75" s="11" t="s">
        <v>128</v>
      </c>
      <c r="I75" s="10" t="s">
        <v>122</v>
      </c>
      <c r="J75" s="11" t="s">
        <v>123</v>
      </c>
      <c r="K75" s="11" t="s">
        <v>124</v>
      </c>
      <c r="L75" s="11" t="s">
        <v>125</v>
      </c>
      <c r="M75" s="11" t="s">
        <v>126</v>
      </c>
      <c r="N75" s="11" t="s">
        <v>127</v>
      </c>
      <c r="O75" s="11" t="s">
        <v>128</v>
      </c>
    </row>
    <row r="76" ht="15.75" customHeight="1">
      <c r="A76" s="10"/>
      <c r="I76" s="10"/>
    </row>
    <row r="77" ht="15.75" customHeight="1">
      <c r="A77" s="10" t="s">
        <v>146</v>
      </c>
      <c r="B77" s="11" t="s">
        <v>151</v>
      </c>
      <c r="C77" s="11">
        <v>422.489796</v>
      </c>
      <c r="D77" s="11">
        <v>7.383146</v>
      </c>
      <c r="E77" s="11">
        <v>1.758109</v>
      </c>
      <c r="F77" s="11">
        <v>0.0</v>
      </c>
      <c r="G77" s="11">
        <v>10.0</v>
      </c>
      <c r="I77" s="10" t="s">
        <v>147</v>
      </c>
      <c r="J77" s="11" t="s">
        <v>152</v>
      </c>
      <c r="K77" s="11">
        <v>425.127973</v>
      </c>
      <c r="L77" s="11">
        <v>7.712034</v>
      </c>
      <c r="M77" s="11">
        <v>1.605989</v>
      </c>
      <c r="N77" s="11">
        <v>0.0</v>
      </c>
      <c r="O77" s="11">
        <v>10.0</v>
      </c>
    </row>
    <row r="78" ht="15.75" customHeight="1">
      <c r="B78" s="10"/>
      <c r="J78" s="10"/>
    </row>
    <row r="79" ht="15.75" customHeight="1">
      <c r="B79" s="10"/>
      <c r="J79" s="10"/>
    </row>
    <row r="80" ht="15.75" customHeight="1">
      <c r="A80" s="14" t="s">
        <v>7</v>
      </c>
      <c r="B80" s="15"/>
      <c r="C80" s="15"/>
      <c r="D80" s="15"/>
      <c r="E80" s="16"/>
    </row>
    <row r="81" ht="15.75" customHeight="1">
      <c r="A81" s="22" t="s">
        <v>63</v>
      </c>
      <c r="F81" s="18" t="s">
        <v>153</v>
      </c>
    </row>
    <row r="82" ht="15.75" customHeight="1">
      <c r="A82" s="11" t="s">
        <v>154</v>
      </c>
      <c r="B82" s="11" t="s">
        <v>23</v>
      </c>
      <c r="C82" s="11" t="s">
        <v>24</v>
      </c>
      <c r="D82" s="11" t="s">
        <v>25</v>
      </c>
    </row>
    <row r="83" ht="15.75" customHeight="1">
      <c r="F83" s="38"/>
      <c r="G83" s="39" t="s">
        <v>155</v>
      </c>
      <c r="H83" s="40" t="s">
        <v>156</v>
      </c>
    </row>
    <row r="84" ht="15.75" customHeight="1">
      <c r="A84" s="11" t="s">
        <v>89</v>
      </c>
      <c r="B84" s="11">
        <v>133.071431</v>
      </c>
      <c r="C84" s="11">
        <v>13.79</v>
      </c>
      <c r="D84" s="11">
        <v>13.79</v>
      </c>
      <c r="F84" s="41" t="s">
        <v>63</v>
      </c>
      <c r="G84" s="42">
        <f>C85</f>
        <v>86.21</v>
      </c>
      <c r="H84" s="43">
        <f>C84</f>
        <v>13.79</v>
      </c>
    </row>
    <row r="85" ht="15.75" customHeight="1">
      <c r="A85" s="11" t="s">
        <v>88</v>
      </c>
      <c r="B85" s="11">
        <v>831.928569</v>
      </c>
      <c r="C85" s="11">
        <v>86.21</v>
      </c>
      <c r="D85" s="11">
        <v>100.0</v>
      </c>
      <c r="F85" s="41" t="s">
        <v>64</v>
      </c>
      <c r="G85" s="42">
        <f>C93</f>
        <v>70.84</v>
      </c>
      <c r="H85" s="43">
        <f>C92</f>
        <v>29.16</v>
      </c>
    </row>
    <row r="86" ht="15.75" customHeight="1">
      <c r="F86" s="41" t="s">
        <v>157</v>
      </c>
      <c r="G86" s="42">
        <f>C101</f>
        <v>85.01</v>
      </c>
      <c r="H86" s="43">
        <f>C100</f>
        <v>14.99</v>
      </c>
    </row>
    <row r="87" ht="15.75" customHeight="1">
      <c r="A87" s="11" t="s">
        <v>32</v>
      </c>
      <c r="B87" s="11">
        <v>965.0</v>
      </c>
      <c r="C87" s="11">
        <v>100.0</v>
      </c>
      <c r="F87" s="41" t="s">
        <v>158</v>
      </c>
      <c r="G87" s="42">
        <f>C109</f>
        <v>16.54</v>
      </c>
      <c r="H87" s="43">
        <f>C108</f>
        <v>83.46</v>
      </c>
    </row>
    <row r="88" ht="15.75" customHeight="1">
      <c r="F88" s="44" t="s">
        <v>159</v>
      </c>
      <c r="G88" s="45">
        <f>C117</f>
        <v>85.05</v>
      </c>
      <c r="H88" s="46">
        <f>C116</f>
        <v>14.95</v>
      </c>
    </row>
    <row r="89" ht="15.75" customHeight="1">
      <c r="A89" s="22" t="s">
        <v>64</v>
      </c>
      <c r="B89" s="22"/>
    </row>
    <row r="90" ht="15.75" customHeight="1">
      <c r="A90" s="11" t="s">
        <v>154</v>
      </c>
      <c r="B90" s="11" t="s">
        <v>23</v>
      </c>
      <c r="C90" s="11" t="s">
        <v>24</v>
      </c>
      <c r="D90" s="11" t="s">
        <v>25</v>
      </c>
    </row>
    <row r="91" ht="15.75" customHeight="1"/>
    <row r="92" ht="15.75" customHeight="1">
      <c r="A92" s="11" t="s">
        <v>89</v>
      </c>
      <c r="B92" s="11">
        <v>14.8704997</v>
      </c>
      <c r="C92" s="11">
        <v>29.16</v>
      </c>
      <c r="D92" s="11">
        <v>29.16</v>
      </c>
    </row>
    <row r="93" ht="15.75" customHeight="1">
      <c r="A93" s="11" t="s">
        <v>88</v>
      </c>
      <c r="B93" s="11">
        <v>36.1295003</v>
      </c>
      <c r="C93" s="11">
        <v>70.84</v>
      </c>
      <c r="D93" s="11">
        <v>100.0</v>
      </c>
    </row>
    <row r="94" ht="15.75" customHeight="1"/>
    <row r="95" ht="15.75" customHeight="1">
      <c r="A95" s="11" t="s">
        <v>32</v>
      </c>
      <c r="B95" s="11">
        <v>51.0</v>
      </c>
      <c r="C95" s="11">
        <v>100.0</v>
      </c>
    </row>
    <row r="96" ht="15.75" customHeight="1"/>
    <row r="97" ht="15.75" customHeight="1">
      <c r="A97" s="22" t="s">
        <v>157</v>
      </c>
      <c r="B97" s="22"/>
    </row>
    <row r="98" ht="15.75" customHeight="1">
      <c r="A98" s="11" t="s">
        <v>154</v>
      </c>
      <c r="B98" s="11" t="s">
        <v>23</v>
      </c>
      <c r="C98" s="11" t="s">
        <v>24</v>
      </c>
      <c r="D98" s="11" t="s">
        <v>25</v>
      </c>
    </row>
    <row r="99" ht="15.75" customHeight="1"/>
    <row r="100" ht="15.75" customHeight="1">
      <c r="A100" s="11" t="s">
        <v>89</v>
      </c>
      <c r="B100" s="11">
        <v>147.183885</v>
      </c>
      <c r="C100" s="11">
        <v>14.99</v>
      </c>
      <c r="D100" s="11">
        <v>14.99</v>
      </c>
    </row>
    <row r="101" ht="15.75" customHeight="1">
      <c r="A101" s="11" t="s">
        <v>88</v>
      </c>
      <c r="B101" s="11">
        <v>834.816115</v>
      </c>
      <c r="C101" s="11">
        <v>85.01</v>
      </c>
      <c r="D101" s="11">
        <v>100.0</v>
      </c>
    </row>
    <row r="102" ht="15.75" customHeight="1"/>
    <row r="103" ht="15.75" customHeight="1">
      <c r="A103" s="11" t="s">
        <v>32</v>
      </c>
      <c r="B103" s="11">
        <v>982.0</v>
      </c>
      <c r="C103" s="11">
        <v>100.0</v>
      </c>
    </row>
    <row r="104" ht="15.75" customHeight="1"/>
    <row r="105" ht="15.75" customHeight="1">
      <c r="A105" s="22" t="s">
        <v>158</v>
      </c>
      <c r="B105" s="22"/>
    </row>
    <row r="106" ht="15.75" customHeight="1">
      <c r="A106" s="11" t="s">
        <v>154</v>
      </c>
      <c r="B106" s="11" t="s">
        <v>23</v>
      </c>
      <c r="C106" s="11" t="s">
        <v>24</v>
      </c>
      <c r="D106" s="11" t="s">
        <v>25</v>
      </c>
    </row>
    <row r="107" ht="15.75" customHeight="1"/>
    <row r="108" ht="15.75" customHeight="1">
      <c r="A108" s="11" t="s">
        <v>89</v>
      </c>
      <c r="B108" s="11">
        <v>3.33833736</v>
      </c>
      <c r="C108" s="11">
        <v>83.46</v>
      </c>
      <c r="D108" s="11">
        <v>83.46</v>
      </c>
    </row>
    <row r="109" ht="15.75" customHeight="1">
      <c r="A109" s="11" t="s">
        <v>88</v>
      </c>
      <c r="B109" s="11">
        <v>0.6616626413</v>
      </c>
      <c r="C109" s="11">
        <v>16.54</v>
      </c>
      <c r="D109" s="11">
        <v>100.0</v>
      </c>
    </row>
    <row r="110" ht="15.75" customHeight="1"/>
    <row r="111" ht="15.75" customHeight="1">
      <c r="A111" s="11" t="s">
        <v>32</v>
      </c>
      <c r="B111" s="11">
        <v>4.0</v>
      </c>
      <c r="C111" s="11">
        <v>100.0</v>
      </c>
    </row>
    <row r="112" ht="15.75" customHeight="1"/>
    <row r="113" ht="15.75" customHeight="1">
      <c r="A113" s="22" t="s">
        <v>159</v>
      </c>
    </row>
    <row r="114" ht="15.75" customHeight="1">
      <c r="A114" s="11" t="s">
        <v>154</v>
      </c>
      <c r="B114" s="11" t="s">
        <v>23</v>
      </c>
      <c r="C114" s="11" t="s">
        <v>24</v>
      </c>
      <c r="D114" s="11" t="s">
        <v>25</v>
      </c>
    </row>
    <row r="115" ht="15.75" customHeight="1"/>
    <row r="116" ht="15.75" customHeight="1">
      <c r="A116" s="11" t="s">
        <v>89</v>
      </c>
      <c r="B116" s="11">
        <v>299.36077</v>
      </c>
      <c r="C116" s="11">
        <v>14.95</v>
      </c>
      <c r="D116" s="11">
        <v>14.95</v>
      </c>
    </row>
    <row r="117" ht="15.75" customHeight="1">
      <c r="A117" s="11" t="s">
        <v>88</v>
      </c>
      <c r="B117" s="23">
        <v>1702.63923</v>
      </c>
      <c r="C117" s="11">
        <v>85.05</v>
      </c>
      <c r="D117" s="11">
        <v>100.0</v>
      </c>
    </row>
    <row r="118" ht="15.75" customHeight="1"/>
    <row r="119" ht="15.75" customHeight="1">
      <c r="A119" s="11" t="s">
        <v>32</v>
      </c>
      <c r="B119" s="10">
        <v>2002.0</v>
      </c>
      <c r="C119" s="11">
        <v>100.0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G4"/>
    <mergeCell ref="I4:O4"/>
    <mergeCell ref="Q16:Z16"/>
    <mergeCell ref="A80:E80"/>
    <mergeCell ref="F81:O8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0.29"/>
    <col customWidth="1" min="3" max="5" width="8.71"/>
    <col customWidth="1" min="6" max="6" width="10.71"/>
    <col customWidth="1" min="7" max="7" width="11.29"/>
    <col customWidth="1" min="8" max="8" width="11.57"/>
    <col customWidth="1" min="9" max="26" width="8.71"/>
  </cols>
  <sheetData>
    <row r="1">
      <c r="A1" s="1" t="s">
        <v>0</v>
      </c>
      <c r="B1" s="2">
        <v>45635.0</v>
      </c>
    </row>
    <row r="2">
      <c r="A2" s="5" t="s">
        <v>160</v>
      </c>
      <c r="B2" s="6"/>
    </row>
    <row r="3">
      <c r="A3" s="31" t="s">
        <v>161</v>
      </c>
      <c r="B3" s="15"/>
      <c r="C3" s="15"/>
      <c r="D3" s="16"/>
      <c r="F3" s="8" t="s">
        <v>3</v>
      </c>
      <c r="G3" s="8"/>
      <c r="H3" s="8" t="s">
        <v>88</v>
      </c>
    </row>
    <row r="4">
      <c r="A4" s="32">
        <v>1.0</v>
      </c>
      <c r="B4" s="6"/>
      <c r="F4" s="10" t="s">
        <v>98</v>
      </c>
      <c r="G4" s="11">
        <v>2002.0</v>
      </c>
      <c r="H4" s="21">
        <f>C7</f>
        <v>34.18</v>
      </c>
    </row>
    <row r="5">
      <c r="A5" s="11" t="s">
        <v>162</v>
      </c>
      <c r="B5" s="11" t="s">
        <v>23</v>
      </c>
      <c r="C5" s="11" t="s">
        <v>24</v>
      </c>
      <c r="D5" s="11" t="s">
        <v>25</v>
      </c>
      <c r="F5" s="11" t="s">
        <v>99</v>
      </c>
      <c r="G5" s="11">
        <v>2004.0</v>
      </c>
      <c r="H5" s="21">
        <f>C14</f>
        <v>71.6</v>
      </c>
    </row>
    <row r="6">
      <c r="F6" s="10" t="s">
        <v>100</v>
      </c>
      <c r="G6" s="11">
        <v>2006.0</v>
      </c>
      <c r="H6" s="21">
        <f>C21</f>
        <v>67.61</v>
      </c>
    </row>
    <row r="7">
      <c r="A7" s="11" t="s">
        <v>88</v>
      </c>
      <c r="B7" s="11">
        <v>675.008915</v>
      </c>
      <c r="C7" s="11">
        <v>34.18</v>
      </c>
      <c r="D7" s="11">
        <v>34.18</v>
      </c>
      <c r="F7" s="10" t="s">
        <v>101</v>
      </c>
      <c r="G7" s="11">
        <v>2008.0</v>
      </c>
      <c r="H7" s="21">
        <f>C28</f>
        <v>9.03</v>
      </c>
    </row>
    <row r="8">
      <c r="A8" s="11" t="s">
        <v>89</v>
      </c>
      <c r="B8" s="10">
        <v>1299.9911</v>
      </c>
      <c r="C8" s="11">
        <v>65.82</v>
      </c>
      <c r="D8" s="11">
        <v>100.0</v>
      </c>
      <c r="F8" s="10" t="s">
        <v>102</v>
      </c>
      <c r="G8" s="11">
        <v>2010.0</v>
      </c>
      <c r="H8" s="21">
        <f>C35</f>
        <v>8.03</v>
      </c>
    </row>
    <row r="9">
      <c r="F9" s="10" t="s">
        <v>103</v>
      </c>
      <c r="G9" s="11">
        <v>2012.0</v>
      </c>
      <c r="H9" s="21">
        <f>C42</f>
        <v>12.11</v>
      </c>
    </row>
    <row r="10">
      <c r="A10" s="11" t="s">
        <v>32</v>
      </c>
      <c r="B10" s="10">
        <v>1975.0</v>
      </c>
      <c r="C10" s="11">
        <v>100.0</v>
      </c>
      <c r="F10" s="10" t="s">
        <v>104</v>
      </c>
      <c r="G10" s="11">
        <v>2014.0</v>
      </c>
      <c r="H10" s="21">
        <f>C49</f>
        <v>30.6</v>
      </c>
    </row>
    <row r="11">
      <c r="A11" s="32">
        <v>2.0</v>
      </c>
      <c r="F11" s="10" t="s">
        <v>105</v>
      </c>
      <c r="G11" s="11">
        <v>2016.0</v>
      </c>
      <c r="H11" s="21">
        <f>C56</f>
        <v>48.38</v>
      </c>
    </row>
    <row r="12">
      <c r="A12" s="11" t="s">
        <v>162</v>
      </c>
      <c r="B12" s="11" t="s">
        <v>23</v>
      </c>
      <c r="C12" s="11" t="s">
        <v>24</v>
      </c>
      <c r="D12" s="11" t="s">
        <v>25</v>
      </c>
      <c r="F12" s="10" t="s">
        <v>106</v>
      </c>
      <c r="G12" s="11">
        <v>2018.0</v>
      </c>
      <c r="H12" s="21">
        <f>C63</f>
        <v>54.32</v>
      </c>
    </row>
    <row r="13">
      <c r="F13" s="10" t="s">
        <v>148</v>
      </c>
      <c r="G13" s="47" t="s">
        <v>6</v>
      </c>
      <c r="H13" s="21">
        <f>C70</f>
        <v>45.2</v>
      </c>
    </row>
    <row r="14">
      <c r="A14" s="11" t="s">
        <v>88</v>
      </c>
      <c r="B14" s="23">
        <v>1590.904</v>
      </c>
      <c r="C14" s="11">
        <v>71.6</v>
      </c>
      <c r="D14" s="11">
        <v>71.6</v>
      </c>
      <c r="F14" s="10" t="s">
        <v>149</v>
      </c>
      <c r="G14" s="11">
        <v>2023.0</v>
      </c>
      <c r="H14" s="21">
        <f>C79</f>
        <v>48.99</v>
      </c>
    </row>
    <row r="15" ht="34.5" customHeight="1">
      <c r="A15" s="11" t="s">
        <v>89</v>
      </c>
      <c r="B15" s="10">
        <v>631.095998</v>
      </c>
      <c r="C15" s="11">
        <v>28.4</v>
      </c>
      <c r="D15" s="11">
        <v>100.0</v>
      </c>
      <c r="F15" s="18" t="s">
        <v>163</v>
      </c>
    </row>
    <row r="17">
      <c r="A17" s="11" t="s">
        <v>32</v>
      </c>
      <c r="B17" s="10">
        <v>2222.0</v>
      </c>
      <c r="C17" s="11">
        <v>100.0</v>
      </c>
    </row>
    <row r="18">
      <c r="A18" s="32">
        <v>3.0</v>
      </c>
    </row>
    <row r="19">
      <c r="A19" s="11" t="s">
        <v>162</v>
      </c>
      <c r="B19" s="11" t="s">
        <v>23</v>
      </c>
      <c r="C19" s="11" t="s">
        <v>24</v>
      </c>
      <c r="D19" s="11" t="s">
        <v>25</v>
      </c>
    </row>
    <row r="21" ht="15.75" customHeight="1">
      <c r="A21" s="11" t="s">
        <v>88</v>
      </c>
      <c r="B21" s="10">
        <v>1190.0019</v>
      </c>
      <c r="C21" s="11">
        <v>67.61</v>
      </c>
      <c r="D21" s="11">
        <v>67.61</v>
      </c>
    </row>
    <row r="22" ht="15.75" customHeight="1">
      <c r="A22" s="11" t="s">
        <v>89</v>
      </c>
      <c r="B22" s="11">
        <v>569.998127</v>
      </c>
      <c r="C22" s="11">
        <v>32.39</v>
      </c>
      <c r="D22" s="11">
        <v>100.0</v>
      </c>
    </row>
    <row r="23" ht="15.75" customHeight="1"/>
    <row r="24" ht="15.75" customHeight="1">
      <c r="A24" s="11" t="s">
        <v>32</v>
      </c>
      <c r="B24" s="10">
        <v>1760.0</v>
      </c>
      <c r="C24" s="11">
        <v>100.0</v>
      </c>
    </row>
    <row r="25" ht="15.75" customHeight="1">
      <c r="A25" s="32">
        <v>4.0</v>
      </c>
    </row>
    <row r="26" ht="15.75" customHeight="1">
      <c r="A26" s="11" t="s">
        <v>162</v>
      </c>
      <c r="B26" s="11" t="s">
        <v>23</v>
      </c>
      <c r="C26" s="11" t="s">
        <v>24</v>
      </c>
      <c r="D26" s="11" t="s">
        <v>25</v>
      </c>
    </row>
    <row r="27" ht="15.75" customHeight="1"/>
    <row r="28" ht="15.75" customHeight="1">
      <c r="A28" s="11" t="s">
        <v>88</v>
      </c>
      <c r="B28" s="10">
        <v>158.629078</v>
      </c>
      <c r="C28" s="11">
        <v>9.03</v>
      </c>
      <c r="D28" s="11">
        <v>9.03</v>
      </c>
    </row>
    <row r="29" ht="15.75" customHeight="1">
      <c r="A29" s="11" t="s">
        <v>89</v>
      </c>
      <c r="B29" s="23">
        <v>1597.3709</v>
      </c>
      <c r="C29" s="11">
        <v>90.97</v>
      </c>
      <c r="D29" s="11">
        <v>100.0</v>
      </c>
    </row>
    <row r="30" ht="15.75" customHeight="1"/>
    <row r="31" ht="15.75" customHeight="1">
      <c r="A31" s="11" t="s">
        <v>32</v>
      </c>
      <c r="B31" s="10">
        <v>1756.0</v>
      </c>
      <c r="C31" s="11">
        <v>100.0</v>
      </c>
    </row>
    <row r="32" ht="15.75" customHeight="1">
      <c r="A32" s="32">
        <v>5.0</v>
      </c>
    </row>
    <row r="33" ht="15.75" customHeight="1">
      <c r="A33" s="11" t="s">
        <v>162</v>
      </c>
      <c r="B33" s="11" t="s">
        <v>23</v>
      </c>
      <c r="C33" s="11" t="s">
        <v>24</v>
      </c>
      <c r="D33" s="11" t="s">
        <v>25</v>
      </c>
    </row>
    <row r="34" ht="15.75" customHeight="1"/>
    <row r="35" ht="15.75" customHeight="1">
      <c r="A35" s="11" t="s">
        <v>88</v>
      </c>
      <c r="B35" s="10">
        <v>205.840101</v>
      </c>
      <c r="C35" s="11">
        <v>8.03</v>
      </c>
      <c r="D35" s="11">
        <v>8.03</v>
      </c>
    </row>
    <row r="36" ht="15.75" customHeight="1">
      <c r="A36" s="11" t="s">
        <v>89</v>
      </c>
      <c r="B36" s="23">
        <v>2357.1599</v>
      </c>
      <c r="C36" s="11">
        <v>91.97</v>
      </c>
      <c r="D36" s="11">
        <v>100.0</v>
      </c>
    </row>
    <row r="37" ht="15.75" customHeight="1"/>
    <row r="38" ht="15.75" customHeight="1">
      <c r="A38" s="11" t="s">
        <v>32</v>
      </c>
      <c r="B38" s="10">
        <v>2563.0</v>
      </c>
      <c r="C38" s="11">
        <v>100.0</v>
      </c>
    </row>
    <row r="39" ht="15.75" customHeight="1">
      <c r="A39" s="32">
        <v>6.0</v>
      </c>
    </row>
    <row r="40" ht="15.75" customHeight="1">
      <c r="A40" s="11" t="s">
        <v>162</v>
      </c>
      <c r="B40" s="11" t="s">
        <v>23</v>
      </c>
      <c r="C40" s="11" t="s">
        <v>24</v>
      </c>
      <c r="D40" s="11" t="s">
        <v>25</v>
      </c>
    </row>
    <row r="41" ht="15.75" customHeight="1"/>
    <row r="42" ht="15.75" customHeight="1">
      <c r="A42" s="11" t="s">
        <v>88</v>
      </c>
      <c r="B42" s="10">
        <v>315.763572</v>
      </c>
      <c r="C42" s="11">
        <v>12.11</v>
      </c>
      <c r="D42" s="11">
        <v>12.11</v>
      </c>
    </row>
    <row r="43" ht="15.75" customHeight="1">
      <c r="A43" s="11" t="s">
        <v>89</v>
      </c>
      <c r="B43" s="23">
        <v>2292.2364</v>
      </c>
      <c r="C43" s="11">
        <v>87.89</v>
      </c>
      <c r="D43" s="11">
        <v>100.0</v>
      </c>
    </row>
    <row r="44" ht="15.75" customHeight="1"/>
    <row r="45" ht="15.75" customHeight="1">
      <c r="A45" s="11" t="s">
        <v>32</v>
      </c>
      <c r="B45" s="10">
        <v>2608.0</v>
      </c>
      <c r="C45" s="11">
        <v>100.0</v>
      </c>
    </row>
    <row r="46" ht="15.75" customHeight="1">
      <c r="A46" s="32">
        <v>7.0</v>
      </c>
    </row>
    <row r="47" ht="15.75" customHeight="1">
      <c r="A47" s="11" t="s">
        <v>162</v>
      </c>
      <c r="B47" s="11" t="s">
        <v>23</v>
      </c>
      <c r="C47" s="11" t="s">
        <v>24</v>
      </c>
      <c r="D47" s="11" t="s">
        <v>25</v>
      </c>
    </row>
    <row r="48" ht="15.75" customHeight="1"/>
    <row r="49" ht="15.75" customHeight="1">
      <c r="A49" s="11" t="s">
        <v>88</v>
      </c>
      <c r="B49" s="10">
        <v>725.489013</v>
      </c>
      <c r="C49" s="11">
        <v>30.6</v>
      </c>
      <c r="D49" s="11">
        <v>30.6</v>
      </c>
    </row>
    <row r="50" ht="15.75" customHeight="1">
      <c r="A50" s="11" t="s">
        <v>89</v>
      </c>
      <c r="B50" s="23">
        <v>1645.511</v>
      </c>
      <c r="C50" s="11">
        <v>69.4</v>
      </c>
      <c r="D50" s="11">
        <v>100.0</v>
      </c>
    </row>
    <row r="51" ht="15.75" customHeight="1"/>
    <row r="52" ht="15.75" customHeight="1">
      <c r="A52" s="11" t="s">
        <v>32</v>
      </c>
      <c r="B52" s="10">
        <v>2371.0</v>
      </c>
      <c r="C52" s="11">
        <v>100.0</v>
      </c>
    </row>
    <row r="53" ht="15.75" customHeight="1">
      <c r="A53" s="32">
        <v>8.0</v>
      </c>
    </row>
    <row r="54" ht="15.75" customHeight="1">
      <c r="A54" s="11" t="s">
        <v>162</v>
      </c>
      <c r="B54" s="11" t="s">
        <v>23</v>
      </c>
      <c r="C54" s="11" t="s">
        <v>24</v>
      </c>
      <c r="D54" s="11" t="s">
        <v>25</v>
      </c>
    </row>
    <row r="55" ht="15.75" customHeight="1"/>
    <row r="56" ht="15.75" customHeight="1">
      <c r="A56" s="11" t="s">
        <v>88</v>
      </c>
      <c r="B56" s="10">
        <v>1319.4009</v>
      </c>
      <c r="C56" s="11">
        <v>48.38</v>
      </c>
      <c r="D56" s="11">
        <v>48.38</v>
      </c>
    </row>
    <row r="57" ht="15.75" customHeight="1">
      <c r="A57" s="11" t="s">
        <v>89</v>
      </c>
      <c r="B57" s="23">
        <v>1407.5991</v>
      </c>
      <c r="C57" s="11">
        <v>51.62</v>
      </c>
      <c r="D57" s="11">
        <v>100.0</v>
      </c>
    </row>
    <row r="58" ht="15.75" customHeight="1"/>
    <row r="59" ht="15.75" customHeight="1">
      <c r="A59" s="11" t="s">
        <v>32</v>
      </c>
      <c r="B59" s="10">
        <v>2727.0</v>
      </c>
      <c r="C59" s="11">
        <v>100.0</v>
      </c>
    </row>
    <row r="60" ht="15.75" customHeight="1">
      <c r="A60" s="32">
        <v>9.0</v>
      </c>
    </row>
    <row r="61" ht="15.75" customHeight="1">
      <c r="A61" s="11" t="s">
        <v>162</v>
      </c>
      <c r="B61" s="11" t="s">
        <v>23</v>
      </c>
      <c r="C61" s="11" t="s">
        <v>24</v>
      </c>
      <c r="D61" s="11" t="s">
        <v>25</v>
      </c>
    </row>
    <row r="62" ht="15.75" customHeight="1"/>
    <row r="63" ht="15.75" customHeight="1">
      <c r="A63" s="11" t="s">
        <v>88</v>
      </c>
      <c r="B63" s="10">
        <v>1190.6257</v>
      </c>
      <c r="C63" s="11">
        <v>54.32</v>
      </c>
      <c r="D63" s="11">
        <v>54.32</v>
      </c>
    </row>
    <row r="64" ht="15.75" customHeight="1">
      <c r="A64" s="11" t="s">
        <v>89</v>
      </c>
      <c r="B64" s="23">
        <v>1001.3743</v>
      </c>
      <c r="C64" s="11">
        <v>45.68</v>
      </c>
      <c r="D64" s="11">
        <v>100.0</v>
      </c>
    </row>
    <row r="65" ht="15.75" customHeight="1"/>
    <row r="66" ht="15.75" customHeight="1">
      <c r="A66" s="11" t="s">
        <v>32</v>
      </c>
      <c r="B66" s="10">
        <v>2192.0</v>
      </c>
      <c r="C66" s="11">
        <v>100.0</v>
      </c>
    </row>
    <row r="67" ht="15.75" customHeight="1">
      <c r="A67" s="32">
        <v>10.0</v>
      </c>
    </row>
    <row r="68" ht="15.75" customHeight="1">
      <c r="A68" s="11" t="s">
        <v>162</v>
      </c>
      <c r="B68" s="11" t="s">
        <v>23</v>
      </c>
      <c r="C68" s="11" t="s">
        <v>24</v>
      </c>
      <c r="D68" s="11" t="s">
        <v>25</v>
      </c>
    </row>
    <row r="69" ht="15.75" customHeight="1"/>
    <row r="70" ht="15.75" customHeight="1">
      <c r="A70" s="11" t="s">
        <v>88</v>
      </c>
      <c r="B70" s="11">
        <v>788.685075</v>
      </c>
      <c r="C70" s="11">
        <v>45.2</v>
      </c>
      <c r="D70" s="11">
        <v>45.2</v>
      </c>
    </row>
    <row r="71" ht="15.75" customHeight="1">
      <c r="A71" s="11" t="s">
        <v>89</v>
      </c>
      <c r="B71" s="11">
        <v>956.314925</v>
      </c>
      <c r="C71" s="11">
        <v>54.8</v>
      </c>
      <c r="D71" s="11">
        <v>100.0</v>
      </c>
    </row>
    <row r="72" ht="15.75" customHeight="1"/>
    <row r="73" ht="15.75" customHeight="1">
      <c r="A73" s="11" t="s">
        <v>32</v>
      </c>
      <c r="B73" s="10">
        <v>1745.0</v>
      </c>
      <c r="C73" s="11">
        <v>100.0</v>
      </c>
    </row>
    <row r="74" ht="15.75" customHeight="1">
      <c r="B74" s="10"/>
    </row>
    <row r="75" ht="15.75" customHeight="1">
      <c r="A75" s="32">
        <v>11.0</v>
      </c>
      <c r="B75" s="10"/>
    </row>
    <row r="76" ht="15.75" customHeight="1">
      <c r="B76" s="10"/>
    </row>
    <row r="77" ht="15.75" customHeight="1">
      <c r="A77" s="11" t="s">
        <v>162</v>
      </c>
      <c r="B77" s="10" t="s">
        <v>23</v>
      </c>
      <c r="C77" s="11" t="s">
        <v>24</v>
      </c>
      <c r="D77" s="11" t="s">
        <v>25</v>
      </c>
    </row>
    <row r="78" ht="15.75" customHeight="1">
      <c r="B78" s="10"/>
    </row>
    <row r="79" ht="15.75" customHeight="1">
      <c r="A79" s="11" t="s">
        <v>88</v>
      </c>
      <c r="B79" s="10">
        <v>978.264296</v>
      </c>
      <c r="C79" s="11">
        <v>48.99</v>
      </c>
      <c r="D79" s="11">
        <v>48.99</v>
      </c>
    </row>
    <row r="80" ht="15.75" customHeight="1">
      <c r="A80" s="11" t="s">
        <v>89</v>
      </c>
      <c r="B80" s="10">
        <v>1018.7357</v>
      </c>
      <c r="C80" s="11">
        <v>51.01</v>
      </c>
      <c r="D80" s="11">
        <v>100.0</v>
      </c>
    </row>
    <row r="81" ht="15.75" customHeight="1">
      <c r="B81" s="10"/>
    </row>
    <row r="82" ht="15.75" customHeight="1">
      <c r="A82" s="11" t="s">
        <v>32</v>
      </c>
      <c r="B82" s="10">
        <v>1997.0</v>
      </c>
      <c r="C82" s="11">
        <v>100.0</v>
      </c>
    </row>
    <row r="83" ht="15.75" customHeight="1">
      <c r="B83" s="10"/>
    </row>
    <row r="84" ht="15.75" customHeight="1">
      <c r="B84" s="10"/>
    </row>
    <row r="85" ht="26.25" customHeight="1"/>
    <row r="86" ht="14.25" customHeight="1">
      <c r="A86" s="14" t="s">
        <v>7</v>
      </c>
      <c r="B86" s="15"/>
      <c r="C86" s="15"/>
      <c r="D86" s="15"/>
      <c r="E86" s="16"/>
    </row>
    <row r="87" ht="14.25" customHeight="1">
      <c r="A87" s="48" t="s">
        <v>164</v>
      </c>
      <c r="B87" s="15"/>
      <c r="C87" s="15"/>
      <c r="D87" s="16"/>
    </row>
    <row r="88" ht="15.75" customHeight="1">
      <c r="A88" s="32" t="s">
        <v>84</v>
      </c>
      <c r="H88" s="6" t="s">
        <v>75</v>
      </c>
      <c r="I88" s="6" t="s">
        <v>76</v>
      </c>
      <c r="J88" s="6" t="s">
        <v>77</v>
      </c>
      <c r="K88" s="6" t="s">
        <v>78</v>
      </c>
      <c r="L88" s="6" t="s">
        <v>79</v>
      </c>
      <c r="M88" s="6" t="s">
        <v>80</v>
      </c>
      <c r="N88" s="6" t="s">
        <v>81</v>
      </c>
    </row>
    <row r="89" ht="15.75" customHeight="1">
      <c r="A89" s="11" t="s">
        <v>162</v>
      </c>
      <c r="B89" s="11" t="s">
        <v>23</v>
      </c>
      <c r="C89" s="11" t="s">
        <v>24</v>
      </c>
      <c r="D89" s="11" t="s">
        <v>25</v>
      </c>
      <c r="G89" s="8" t="s">
        <v>88</v>
      </c>
      <c r="H89" s="21">
        <f>C91</f>
        <v>42.13</v>
      </c>
      <c r="I89" s="21">
        <f>C98</f>
        <v>44.81</v>
      </c>
      <c r="J89" s="21">
        <f>C105</f>
        <v>54.08</v>
      </c>
      <c r="K89" s="21">
        <f>C112</f>
        <v>50.09</v>
      </c>
      <c r="L89" s="21">
        <f>C119</f>
        <v>46.39</v>
      </c>
      <c r="M89" s="21">
        <f>C126</f>
        <v>50.46</v>
      </c>
      <c r="N89" s="21">
        <f>C133</f>
        <v>57.41</v>
      </c>
    </row>
    <row r="90" ht="15.75" customHeight="1"/>
    <row r="91" ht="15.75" customHeight="1">
      <c r="A91" s="11" t="s">
        <v>88</v>
      </c>
      <c r="B91" s="11">
        <v>56.03781</v>
      </c>
      <c r="C91" s="11">
        <v>42.13</v>
      </c>
      <c r="D91" s="11">
        <v>42.13</v>
      </c>
      <c r="G91" s="25" t="s">
        <v>165</v>
      </c>
    </row>
    <row r="92" ht="15.75" customHeight="1">
      <c r="A92" s="11" t="s">
        <v>89</v>
      </c>
      <c r="B92" s="11">
        <v>76.96219</v>
      </c>
      <c r="C92" s="11">
        <v>57.87</v>
      </c>
      <c r="D92" s="11">
        <v>100.0</v>
      </c>
    </row>
    <row r="93" ht="15.75" customHeight="1"/>
    <row r="94" ht="15.75" customHeight="1">
      <c r="A94" s="11" t="s">
        <v>32</v>
      </c>
      <c r="B94" s="11">
        <v>133.0</v>
      </c>
      <c r="C94" s="11">
        <v>100.0</v>
      </c>
    </row>
    <row r="95" ht="15.75" customHeight="1">
      <c r="A95" s="32" t="s">
        <v>76</v>
      </c>
    </row>
    <row r="96" ht="15.75" customHeight="1">
      <c r="A96" s="11" t="s">
        <v>162</v>
      </c>
      <c r="B96" s="11" t="s">
        <v>23</v>
      </c>
      <c r="C96" s="11" t="s">
        <v>24</v>
      </c>
      <c r="D96" s="11" t="s">
        <v>25</v>
      </c>
    </row>
    <row r="97" ht="15.75" customHeight="1"/>
    <row r="98" ht="15.75" customHeight="1">
      <c r="A98" s="11" t="s">
        <v>88</v>
      </c>
      <c r="B98" s="11">
        <v>90.9667571</v>
      </c>
      <c r="C98" s="11">
        <v>44.81</v>
      </c>
      <c r="D98" s="11">
        <v>44.81</v>
      </c>
    </row>
    <row r="99" ht="15.75" customHeight="1">
      <c r="A99" s="11" t="s">
        <v>89</v>
      </c>
      <c r="B99" s="11">
        <v>112.033243</v>
      </c>
      <c r="C99" s="11">
        <v>55.19</v>
      </c>
      <c r="D99" s="11">
        <v>100.0</v>
      </c>
    </row>
    <row r="100" ht="15.75" customHeight="1"/>
    <row r="101" ht="15.75" customHeight="1">
      <c r="A101" s="11" t="s">
        <v>32</v>
      </c>
      <c r="B101" s="11">
        <v>203.0</v>
      </c>
      <c r="C101" s="11">
        <v>100.0</v>
      </c>
    </row>
    <row r="102" ht="15.75" customHeight="1">
      <c r="A102" s="32" t="s">
        <v>77</v>
      </c>
    </row>
    <row r="103" ht="15.75" customHeight="1">
      <c r="A103" s="11" t="s">
        <v>162</v>
      </c>
      <c r="B103" s="11" t="s">
        <v>23</v>
      </c>
      <c r="C103" s="11" t="s">
        <v>24</v>
      </c>
      <c r="D103" s="11" t="s">
        <v>25</v>
      </c>
    </row>
    <row r="104" ht="15.75" customHeight="1"/>
    <row r="105" ht="15.75" customHeight="1">
      <c r="A105" s="11" t="s">
        <v>88</v>
      </c>
      <c r="B105" s="11">
        <v>203.341381</v>
      </c>
      <c r="C105" s="11">
        <v>54.08</v>
      </c>
      <c r="D105" s="11">
        <v>54.08</v>
      </c>
    </row>
    <row r="106" ht="15.75" customHeight="1">
      <c r="A106" s="11" t="s">
        <v>89</v>
      </c>
      <c r="B106" s="11">
        <v>172.658619</v>
      </c>
      <c r="C106" s="11">
        <v>45.92</v>
      </c>
      <c r="D106" s="11">
        <v>100.0</v>
      </c>
    </row>
    <row r="107" ht="15.75" customHeight="1"/>
    <row r="108" ht="15.75" customHeight="1">
      <c r="A108" s="11" t="s">
        <v>32</v>
      </c>
      <c r="B108" s="11">
        <v>376.0</v>
      </c>
      <c r="C108" s="11">
        <v>100.0</v>
      </c>
    </row>
    <row r="109" ht="15.75" customHeight="1">
      <c r="A109" s="32" t="s">
        <v>166</v>
      </c>
    </row>
    <row r="110" ht="15.75" customHeight="1">
      <c r="A110" s="11" t="s">
        <v>162</v>
      </c>
      <c r="B110" s="11" t="s">
        <v>23</v>
      </c>
      <c r="C110" s="11" t="s">
        <v>24</v>
      </c>
      <c r="D110" s="11" t="s">
        <v>25</v>
      </c>
    </row>
    <row r="111" ht="15.75" customHeight="1"/>
    <row r="112" ht="15.75" customHeight="1">
      <c r="A112" s="11" t="s">
        <v>88</v>
      </c>
      <c r="B112" s="11">
        <v>152.764866</v>
      </c>
      <c r="C112" s="11">
        <v>50.09</v>
      </c>
      <c r="D112" s="11">
        <v>50.09</v>
      </c>
    </row>
    <row r="113" ht="15.75" customHeight="1">
      <c r="A113" s="11" t="s">
        <v>89</v>
      </c>
      <c r="B113" s="11">
        <v>152.235134</v>
      </c>
      <c r="C113" s="11">
        <v>49.91</v>
      </c>
      <c r="D113" s="11">
        <v>100.0</v>
      </c>
    </row>
    <row r="114" ht="15.75" customHeight="1"/>
    <row r="115" ht="15.75" customHeight="1">
      <c r="A115" s="11" t="s">
        <v>32</v>
      </c>
      <c r="B115" s="11">
        <v>305.0</v>
      </c>
      <c r="C115" s="11">
        <v>100.0</v>
      </c>
    </row>
    <row r="116" ht="15.75" customHeight="1">
      <c r="A116" s="32" t="s">
        <v>79</v>
      </c>
    </row>
    <row r="117" ht="15.75" customHeight="1">
      <c r="A117" s="11" t="s">
        <v>162</v>
      </c>
      <c r="B117" s="11" t="s">
        <v>23</v>
      </c>
      <c r="C117" s="11" t="s">
        <v>24</v>
      </c>
      <c r="D117" s="11" t="s">
        <v>25</v>
      </c>
    </row>
    <row r="118" ht="15.75" customHeight="1"/>
    <row r="119" ht="15.75" customHeight="1">
      <c r="A119" s="11" t="s">
        <v>88</v>
      </c>
      <c r="B119" s="11">
        <v>160.5010775</v>
      </c>
      <c r="C119" s="11">
        <v>46.39</v>
      </c>
      <c r="D119" s="11">
        <v>46.39</v>
      </c>
    </row>
    <row r="120" ht="15.75" customHeight="1">
      <c r="A120" s="11" t="s">
        <v>89</v>
      </c>
      <c r="B120" s="11">
        <v>185.4989225</v>
      </c>
      <c r="C120" s="11">
        <v>53.61</v>
      </c>
      <c r="D120" s="11">
        <v>100.0</v>
      </c>
    </row>
    <row r="121" ht="15.75" customHeight="1"/>
    <row r="122" ht="15.75" customHeight="1">
      <c r="A122" s="11" t="s">
        <v>32</v>
      </c>
      <c r="B122" s="11">
        <v>346.0</v>
      </c>
      <c r="C122" s="11">
        <v>100.0</v>
      </c>
    </row>
    <row r="123" ht="15.75" customHeight="1">
      <c r="A123" s="32" t="s">
        <v>167</v>
      </c>
    </row>
    <row r="124" ht="15.75" customHeight="1">
      <c r="A124" s="11" t="s">
        <v>162</v>
      </c>
      <c r="B124" s="11" t="s">
        <v>23</v>
      </c>
      <c r="C124" s="11" t="s">
        <v>24</v>
      </c>
      <c r="D124" s="11" t="s">
        <v>25</v>
      </c>
    </row>
    <row r="125" ht="15.75" customHeight="1"/>
    <row r="126" ht="15.75" customHeight="1">
      <c r="A126" s="11" t="s">
        <v>88</v>
      </c>
      <c r="B126" s="11">
        <v>190.2379178</v>
      </c>
      <c r="C126" s="11">
        <v>50.46</v>
      </c>
      <c r="D126" s="11">
        <v>50.46</v>
      </c>
    </row>
    <row r="127" ht="15.75" customHeight="1">
      <c r="A127" s="11" t="s">
        <v>89</v>
      </c>
      <c r="B127" s="11">
        <v>186.7620822</v>
      </c>
      <c r="C127" s="11">
        <v>49.54</v>
      </c>
      <c r="D127" s="11">
        <v>100.0</v>
      </c>
    </row>
    <row r="128" ht="15.75" customHeight="1"/>
    <row r="129" ht="15.75" customHeight="1">
      <c r="A129" s="11" t="s">
        <v>32</v>
      </c>
      <c r="B129" s="11">
        <v>377.0</v>
      </c>
      <c r="C129" s="11">
        <v>100.0</v>
      </c>
    </row>
    <row r="130" ht="15.75" customHeight="1">
      <c r="A130" s="32" t="s">
        <v>168</v>
      </c>
    </row>
    <row r="131" ht="15.75" customHeight="1">
      <c r="A131" s="11" t="s">
        <v>162</v>
      </c>
      <c r="B131" s="11" t="s">
        <v>23</v>
      </c>
      <c r="C131" s="11" t="s">
        <v>24</v>
      </c>
      <c r="D131" s="11" t="s">
        <v>25</v>
      </c>
    </row>
    <row r="132" ht="15.75" customHeight="1"/>
    <row r="133" ht="15.75" customHeight="1">
      <c r="A133" s="11" t="s">
        <v>88</v>
      </c>
      <c r="B133" s="11">
        <v>135.493695</v>
      </c>
      <c r="C133" s="11">
        <v>57.41</v>
      </c>
      <c r="D133" s="11">
        <v>57.41</v>
      </c>
    </row>
    <row r="134" ht="15.75" customHeight="1">
      <c r="A134" s="11" t="s">
        <v>89</v>
      </c>
      <c r="B134" s="11">
        <v>100.506305</v>
      </c>
      <c r="C134" s="11">
        <v>42.59</v>
      </c>
      <c r="D134" s="11">
        <v>100.0</v>
      </c>
    </row>
    <row r="135" ht="15.75" customHeight="1"/>
    <row r="136" ht="15.75" customHeight="1">
      <c r="A136" s="11" t="s">
        <v>32</v>
      </c>
      <c r="B136" s="11">
        <v>236.0</v>
      </c>
      <c r="C136" s="11">
        <v>100.0</v>
      </c>
    </row>
    <row r="137" ht="15.75" customHeight="1"/>
    <row r="138" ht="15.75" customHeight="1">
      <c r="A138" s="14" t="s">
        <v>7</v>
      </c>
      <c r="B138" s="15"/>
      <c r="C138" s="15"/>
      <c r="D138" s="15"/>
      <c r="E138" s="16"/>
    </row>
    <row r="139" ht="15.75" customHeight="1">
      <c r="A139" s="22" t="s">
        <v>169</v>
      </c>
    </row>
    <row r="140" ht="15.75" customHeight="1">
      <c r="G140" s="6" t="s">
        <v>170</v>
      </c>
      <c r="H140" s="6">
        <v>2.0</v>
      </c>
      <c r="I140" s="6">
        <v>3.0</v>
      </c>
      <c r="J140" s="6">
        <v>4.0</v>
      </c>
      <c r="K140" s="6" t="s">
        <v>171</v>
      </c>
      <c r="M140" s="6" t="s">
        <v>172</v>
      </c>
    </row>
    <row r="141" ht="15.75" customHeight="1">
      <c r="A141" s="11" t="s">
        <v>173</v>
      </c>
      <c r="F141" s="8" t="s">
        <v>174</v>
      </c>
      <c r="G141" s="21">
        <f t="shared" ref="G141:G144" si="1">C144</f>
        <v>16.81</v>
      </c>
      <c r="H141" s="21">
        <f t="shared" ref="H141:H144" si="2">C157</f>
        <v>34.87</v>
      </c>
      <c r="I141" s="21">
        <f t="shared" ref="I141:I144" si="3">C170</f>
        <v>43.24</v>
      </c>
      <c r="J141" s="21">
        <f t="shared" ref="J141:J144" si="4">C183</f>
        <v>58.12</v>
      </c>
      <c r="K141" s="21">
        <f t="shared" ref="K141:K144" si="5">C196</f>
        <v>74.67</v>
      </c>
      <c r="M141" s="21">
        <f t="shared" ref="M141:M144" si="6">C207</f>
        <v>41.51</v>
      </c>
    </row>
    <row r="142" ht="15.75" customHeight="1">
      <c r="A142" s="11" t="s">
        <v>175</v>
      </c>
      <c r="B142" s="11" t="s">
        <v>23</v>
      </c>
      <c r="C142" s="11" t="s">
        <v>24</v>
      </c>
      <c r="D142" s="11" t="s">
        <v>25</v>
      </c>
      <c r="F142" s="8" t="s">
        <v>176</v>
      </c>
      <c r="G142" s="21">
        <f t="shared" si="1"/>
        <v>45.75</v>
      </c>
      <c r="H142" s="21">
        <f t="shared" si="2"/>
        <v>46.19</v>
      </c>
      <c r="I142" s="21">
        <f t="shared" si="3"/>
        <v>43.89</v>
      </c>
      <c r="J142" s="21">
        <f t="shared" si="4"/>
        <v>36.77</v>
      </c>
      <c r="K142" s="21">
        <f t="shared" si="5"/>
        <v>23.26</v>
      </c>
      <c r="M142" s="21">
        <f t="shared" si="6"/>
        <v>40.74</v>
      </c>
    </row>
    <row r="143" ht="15.75" customHeight="1">
      <c r="F143" s="8" t="s">
        <v>177</v>
      </c>
      <c r="G143" s="21">
        <f t="shared" si="1"/>
        <v>25.1</v>
      </c>
      <c r="H143" s="21">
        <f t="shared" si="2"/>
        <v>14.45</v>
      </c>
      <c r="I143" s="21">
        <f t="shared" si="3"/>
        <v>9.89</v>
      </c>
      <c r="J143" s="21">
        <f t="shared" si="4"/>
        <v>4.8</v>
      </c>
      <c r="K143" s="21">
        <f t="shared" si="5"/>
        <v>2.07</v>
      </c>
      <c r="M143" s="21">
        <f t="shared" si="6"/>
        <v>12.66</v>
      </c>
    </row>
    <row r="144" ht="15.75" customHeight="1">
      <c r="A144" s="11" t="s">
        <v>178</v>
      </c>
      <c r="B144" s="11">
        <v>73.4399992</v>
      </c>
      <c r="C144" s="11">
        <v>16.81</v>
      </c>
      <c r="D144" s="11">
        <v>16.81</v>
      </c>
      <c r="F144" s="8" t="s">
        <v>179</v>
      </c>
      <c r="G144" s="21">
        <f t="shared" si="1"/>
        <v>12.34</v>
      </c>
      <c r="H144" s="21">
        <f t="shared" si="2"/>
        <v>4.48</v>
      </c>
      <c r="I144" s="21">
        <f t="shared" si="3"/>
        <v>2.98</v>
      </c>
      <c r="J144" s="21">
        <f t="shared" si="4"/>
        <v>0.3</v>
      </c>
      <c r="K144" s="21" t="str">
        <f t="shared" si="5"/>
        <v/>
      </c>
      <c r="M144" s="21">
        <f t="shared" si="6"/>
        <v>5.09</v>
      </c>
    </row>
    <row r="145" ht="15.75" customHeight="1">
      <c r="A145" s="11" t="s">
        <v>180</v>
      </c>
      <c r="B145" s="11">
        <v>199.936847</v>
      </c>
      <c r="C145" s="11">
        <v>45.75</v>
      </c>
      <c r="D145" s="11">
        <v>62.56</v>
      </c>
    </row>
    <row r="146" ht="15.75" customHeight="1">
      <c r="A146" s="11" t="s">
        <v>181</v>
      </c>
      <c r="B146" s="11">
        <v>109.697752</v>
      </c>
      <c r="C146" s="11">
        <v>25.1</v>
      </c>
      <c r="D146" s="11">
        <v>87.66</v>
      </c>
      <c r="F146" s="25" t="s">
        <v>182</v>
      </c>
    </row>
    <row r="147" ht="15.75" customHeight="1">
      <c r="A147" s="11" t="s">
        <v>183</v>
      </c>
      <c r="B147" s="11">
        <v>53.9254021</v>
      </c>
      <c r="C147" s="11">
        <v>12.34</v>
      </c>
      <c r="D147" s="11">
        <v>100.0</v>
      </c>
    </row>
    <row r="148" ht="15.75" customHeight="1"/>
    <row r="149" ht="15.75" customHeight="1">
      <c r="A149" s="11" t="s">
        <v>32</v>
      </c>
      <c r="B149" s="11">
        <v>437.0</v>
      </c>
      <c r="C149" s="11">
        <v>100.0</v>
      </c>
    </row>
    <row r="150" ht="15.75" customHeight="1"/>
    <row r="151" ht="15.75" customHeight="1"/>
    <row r="152" ht="15.75" customHeight="1">
      <c r="A152" s="22" t="s">
        <v>184</v>
      </c>
    </row>
    <row r="153" ht="15.75" customHeight="1"/>
    <row r="154" ht="15.75" customHeight="1">
      <c r="A154" s="11" t="s">
        <v>173</v>
      </c>
    </row>
    <row r="155" ht="15.75" customHeight="1">
      <c r="A155" s="11" t="s">
        <v>175</v>
      </c>
      <c r="B155" s="11" t="s">
        <v>23</v>
      </c>
      <c r="C155" s="11" t="s">
        <v>24</v>
      </c>
      <c r="D155" s="11" t="s">
        <v>25</v>
      </c>
    </row>
    <row r="156" ht="15.75" customHeight="1"/>
    <row r="157" ht="15.75" customHeight="1">
      <c r="A157" s="11" t="s">
        <v>178</v>
      </c>
      <c r="B157" s="11">
        <v>147.171439</v>
      </c>
      <c r="C157" s="11">
        <v>34.87</v>
      </c>
      <c r="D157" s="11">
        <v>34.87</v>
      </c>
    </row>
    <row r="158" ht="15.75" customHeight="1">
      <c r="A158" s="11" t="s">
        <v>180</v>
      </c>
      <c r="B158" s="11">
        <v>194.934936</v>
      </c>
      <c r="C158" s="11">
        <v>46.19</v>
      </c>
      <c r="D158" s="11">
        <v>81.07</v>
      </c>
    </row>
    <row r="159" ht="15.75" customHeight="1">
      <c r="A159" s="11" t="s">
        <v>181</v>
      </c>
      <c r="B159" s="11">
        <v>60.9857163</v>
      </c>
      <c r="C159" s="11">
        <v>14.45</v>
      </c>
      <c r="D159" s="11">
        <v>95.52</v>
      </c>
    </row>
    <row r="160" ht="15.75" customHeight="1">
      <c r="A160" s="11" t="s">
        <v>183</v>
      </c>
      <c r="B160" s="11">
        <v>18.9079091</v>
      </c>
      <c r="C160" s="11">
        <v>4.48</v>
      </c>
      <c r="D160" s="11">
        <v>100.0</v>
      </c>
    </row>
    <row r="161" ht="15.75" customHeight="1"/>
    <row r="162" ht="15.75" customHeight="1">
      <c r="A162" s="11" t="s">
        <v>32</v>
      </c>
      <c r="B162" s="11">
        <v>422.0</v>
      </c>
      <c r="C162" s="11">
        <v>100.0</v>
      </c>
    </row>
    <row r="163" ht="15.75" customHeight="1"/>
    <row r="164" ht="15.75" customHeight="1"/>
    <row r="165" ht="15.75" customHeight="1">
      <c r="A165" s="22" t="s">
        <v>185</v>
      </c>
    </row>
    <row r="166" ht="15.75" customHeight="1"/>
    <row r="167" ht="15.75" customHeight="1">
      <c r="A167" s="11" t="s">
        <v>173</v>
      </c>
    </row>
    <row r="168" ht="15.75" customHeight="1">
      <c r="A168" s="11" t="s">
        <v>175</v>
      </c>
      <c r="B168" s="11" t="s">
        <v>23</v>
      </c>
      <c r="C168" s="11" t="s">
        <v>24</v>
      </c>
      <c r="D168" s="11" t="s">
        <v>25</v>
      </c>
    </row>
    <row r="169" ht="15.75" customHeight="1"/>
    <row r="170" ht="15.75" customHeight="1">
      <c r="A170" s="11" t="s">
        <v>178</v>
      </c>
      <c r="B170" s="11">
        <v>134.911784</v>
      </c>
      <c r="C170" s="11">
        <v>43.24</v>
      </c>
      <c r="D170" s="11">
        <v>43.24</v>
      </c>
    </row>
    <row r="171" ht="15.75" customHeight="1">
      <c r="A171" s="11" t="s">
        <v>180</v>
      </c>
      <c r="B171" s="11">
        <v>136.921916</v>
      </c>
      <c r="C171" s="11">
        <v>43.89</v>
      </c>
      <c r="D171" s="11">
        <v>87.13</v>
      </c>
    </row>
    <row r="172" ht="15.75" customHeight="1">
      <c r="A172" s="11" t="s">
        <v>181</v>
      </c>
      <c r="B172" s="11">
        <v>30.8719683</v>
      </c>
      <c r="C172" s="11">
        <v>9.89</v>
      </c>
      <c r="D172" s="11">
        <v>97.02</v>
      </c>
    </row>
    <row r="173" ht="15.75" customHeight="1">
      <c r="A173" s="11" t="s">
        <v>183</v>
      </c>
      <c r="B173" s="11">
        <v>9.294332</v>
      </c>
      <c r="C173" s="11">
        <v>2.98</v>
      </c>
      <c r="D173" s="11">
        <v>100.0</v>
      </c>
    </row>
    <row r="174" ht="15.75" customHeight="1"/>
    <row r="175" ht="15.75" customHeight="1">
      <c r="A175" s="11" t="s">
        <v>32</v>
      </c>
      <c r="B175" s="11">
        <v>312.0</v>
      </c>
      <c r="C175" s="11">
        <v>100.0</v>
      </c>
    </row>
    <row r="176" ht="15.75" customHeight="1"/>
    <row r="177" ht="15.75" customHeight="1"/>
    <row r="178" ht="15.75" customHeight="1">
      <c r="A178" s="22" t="s">
        <v>186</v>
      </c>
    </row>
    <row r="179" ht="15.75" customHeight="1"/>
    <row r="180" ht="15.75" customHeight="1">
      <c r="A180" s="11" t="s">
        <v>173</v>
      </c>
    </row>
    <row r="181" ht="15.75" customHeight="1">
      <c r="A181" s="11" t="s">
        <v>175</v>
      </c>
      <c r="B181" s="11" t="s">
        <v>23</v>
      </c>
      <c r="C181" s="11" t="s">
        <v>24</v>
      </c>
      <c r="D181" s="11" t="s">
        <v>25</v>
      </c>
    </row>
    <row r="182" ht="15.75" customHeight="1"/>
    <row r="183" ht="15.75" customHeight="1">
      <c r="A183" s="11" t="s">
        <v>178</v>
      </c>
      <c r="B183" s="11">
        <v>126.71073</v>
      </c>
      <c r="C183" s="11">
        <v>58.12</v>
      </c>
      <c r="D183" s="11">
        <v>58.12</v>
      </c>
    </row>
    <row r="184" ht="15.75" customHeight="1">
      <c r="A184" s="11" t="s">
        <v>180</v>
      </c>
      <c r="B184" s="11">
        <v>80.1583073</v>
      </c>
      <c r="C184" s="11">
        <v>36.77</v>
      </c>
      <c r="D184" s="11">
        <v>94.89</v>
      </c>
    </row>
    <row r="185" ht="15.75" customHeight="1">
      <c r="A185" s="11" t="s">
        <v>181</v>
      </c>
      <c r="B185" s="11">
        <v>10.4688594</v>
      </c>
      <c r="C185" s="11">
        <v>4.8</v>
      </c>
      <c r="D185" s="11">
        <v>99.7</v>
      </c>
    </row>
    <row r="186" ht="15.75" customHeight="1">
      <c r="A186" s="11" t="s">
        <v>183</v>
      </c>
      <c r="B186" s="11">
        <v>0.662102915</v>
      </c>
      <c r="C186" s="11">
        <v>0.3</v>
      </c>
      <c r="D186" s="11">
        <v>100.0</v>
      </c>
    </row>
    <row r="187" ht="15.75" customHeight="1"/>
    <row r="188" ht="15.75" customHeight="1">
      <c r="A188" s="11" t="s">
        <v>32</v>
      </c>
      <c r="B188" s="11">
        <v>218.0</v>
      </c>
      <c r="C188" s="11">
        <v>100.0</v>
      </c>
    </row>
    <row r="189" ht="15.75" customHeight="1"/>
    <row r="190" ht="15.75" customHeight="1"/>
    <row r="191" ht="15.75" customHeight="1">
      <c r="A191" s="22" t="s">
        <v>187</v>
      </c>
    </row>
    <row r="192" ht="15.75" customHeight="1"/>
    <row r="193" ht="15.75" customHeight="1">
      <c r="A193" s="11" t="s">
        <v>173</v>
      </c>
    </row>
    <row r="194" ht="15.75" customHeight="1">
      <c r="A194" s="11" t="s">
        <v>175</v>
      </c>
      <c r="B194" s="11" t="s">
        <v>23</v>
      </c>
      <c r="C194" s="11" t="s">
        <v>24</v>
      </c>
      <c r="D194" s="11" t="s">
        <v>25</v>
      </c>
    </row>
    <row r="195" ht="15.75" customHeight="1"/>
    <row r="196" ht="15.75" customHeight="1">
      <c r="A196" s="11" t="s">
        <v>178</v>
      </c>
      <c r="B196" s="11">
        <v>112.007553</v>
      </c>
      <c r="C196" s="11">
        <v>74.67</v>
      </c>
      <c r="D196" s="11">
        <v>74.67</v>
      </c>
    </row>
    <row r="197" ht="15.75" customHeight="1">
      <c r="A197" s="11" t="s">
        <v>180</v>
      </c>
      <c r="B197" s="11">
        <v>34.8888921</v>
      </c>
      <c r="C197" s="11">
        <v>23.26</v>
      </c>
      <c r="D197" s="11">
        <v>97.93</v>
      </c>
    </row>
    <row r="198" ht="15.75" customHeight="1">
      <c r="A198" s="11" t="s">
        <v>181</v>
      </c>
      <c r="B198" s="11">
        <v>3.10355465</v>
      </c>
      <c r="C198" s="11">
        <v>2.07</v>
      </c>
      <c r="D198" s="11">
        <v>100.0</v>
      </c>
    </row>
    <row r="199" ht="15.75" customHeight="1"/>
    <row r="200" ht="15.75" customHeight="1">
      <c r="A200" s="11" t="s">
        <v>32</v>
      </c>
      <c r="B200" s="11">
        <v>150.0</v>
      </c>
      <c r="C200" s="11">
        <v>100.0</v>
      </c>
    </row>
    <row r="201" ht="15.75" customHeight="1"/>
    <row r="202" ht="15.75" customHeight="1"/>
    <row r="203" ht="15.75" customHeight="1">
      <c r="A203" s="49" t="s">
        <v>172</v>
      </c>
    </row>
    <row r="204" ht="15.75" customHeight="1">
      <c r="A204" s="11" t="s">
        <v>173</v>
      </c>
    </row>
    <row r="205" ht="15.75" customHeight="1">
      <c r="A205" s="11" t="s">
        <v>175</v>
      </c>
      <c r="B205" s="11" t="s">
        <v>23</v>
      </c>
      <c r="C205" s="11" t="s">
        <v>24</v>
      </c>
      <c r="D205" s="11" t="s">
        <v>25</v>
      </c>
    </row>
    <row r="206" ht="15.75" customHeight="1"/>
    <row r="207" ht="15.75" customHeight="1">
      <c r="A207" s="11" t="s">
        <v>178</v>
      </c>
      <c r="B207" s="11">
        <v>833.194517</v>
      </c>
      <c r="C207" s="11">
        <v>41.51</v>
      </c>
      <c r="D207" s="11">
        <v>41.51</v>
      </c>
    </row>
    <row r="208" ht="15.75" customHeight="1">
      <c r="A208" s="11" t="s">
        <v>180</v>
      </c>
      <c r="B208" s="11">
        <v>817.58666</v>
      </c>
      <c r="C208" s="11">
        <v>40.74</v>
      </c>
      <c r="D208" s="11">
        <v>82.25</v>
      </c>
    </row>
    <row r="209" ht="15.75" customHeight="1">
      <c r="A209" s="11" t="s">
        <v>181</v>
      </c>
      <c r="B209" s="11">
        <v>254.123976</v>
      </c>
      <c r="C209" s="11">
        <v>12.66</v>
      </c>
      <c r="D209" s="11">
        <v>94.91</v>
      </c>
    </row>
    <row r="210" ht="15.75" customHeight="1">
      <c r="A210" s="11" t="s">
        <v>183</v>
      </c>
      <c r="B210" s="11">
        <v>102.094847</v>
      </c>
      <c r="C210" s="11">
        <v>5.09</v>
      </c>
      <c r="D210" s="11">
        <v>100.0</v>
      </c>
    </row>
    <row r="211" ht="15.75" customHeight="1"/>
    <row r="212" ht="15.75" customHeight="1">
      <c r="A212" s="11" t="s">
        <v>32</v>
      </c>
      <c r="B212" s="10">
        <v>2007.0</v>
      </c>
      <c r="C212" s="11">
        <v>100.0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D3"/>
    <mergeCell ref="F15:O15"/>
    <mergeCell ref="A86:E86"/>
    <mergeCell ref="A87:D87"/>
    <mergeCell ref="A138:E13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3.14"/>
    <col customWidth="1" min="3" max="5" width="8.71"/>
    <col customWidth="1" min="6" max="6" width="13.71"/>
    <col customWidth="1" min="7" max="8" width="8.71"/>
    <col customWidth="1" min="9" max="9" width="12.0"/>
    <col customWidth="1" min="10" max="26" width="8.71"/>
  </cols>
  <sheetData>
    <row r="1">
      <c r="A1" s="1" t="s">
        <v>0</v>
      </c>
      <c r="B1" s="2">
        <v>45635.0</v>
      </c>
    </row>
    <row r="2">
      <c r="A2" s="5" t="s">
        <v>188</v>
      </c>
    </row>
    <row r="3">
      <c r="I3" s="8" t="s">
        <v>3</v>
      </c>
      <c r="J3" s="8">
        <v>1.0</v>
      </c>
      <c r="K3" s="8">
        <v>2.0</v>
      </c>
      <c r="L3" s="8">
        <v>3.0</v>
      </c>
      <c r="M3" s="8">
        <v>4.0</v>
      </c>
      <c r="N3" s="8">
        <v>5.0</v>
      </c>
      <c r="O3" s="8">
        <v>6.0</v>
      </c>
      <c r="P3" s="8">
        <v>7.0</v>
      </c>
      <c r="Q3" s="8">
        <v>8.0</v>
      </c>
      <c r="R3" s="8">
        <v>9.0</v>
      </c>
      <c r="S3" s="8">
        <v>10.0</v>
      </c>
      <c r="T3" s="8">
        <v>11.0</v>
      </c>
    </row>
    <row r="4">
      <c r="A4" s="22" t="s">
        <v>120</v>
      </c>
      <c r="B4" s="22">
        <v>1.0</v>
      </c>
      <c r="I4" s="8"/>
      <c r="J4" s="11">
        <v>2002.0</v>
      </c>
      <c r="K4" s="11">
        <v>2004.0</v>
      </c>
      <c r="L4" s="11">
        <v>2006.0</v>
      </c>
      <c r="M4" s="11">
        <v>2008.0</v>
      </c>
      <c r="N4" s="11">
        <v>2010.0</v>
      </c>
      <c r="O4" s="11">
        <v>2012.0</v>
      </c>
      <c r="P4" s="11">
        <v>2014.0</v>
      </c>
      <c r="Q4" s="11">
        <v>2016.0</v>
      </c>
      <c r="R4" s="11">
        <v>2018.0</v>
      </c>
      <c r="S4" s="11" t="s">
        <v>42</v>
      </c>
      <c r="T4" s="11">
        <v>2023.0</v>
      </c>
    </row>
    <row r="5">
      <c r="A5" s="11" t="s">
        <v>122</v>
      </c>
      <c r="B5" s="11" t="s">
        <v>123</v>
      </c>
      <c r="C5" s="11" t="s">
        <v>124</v>
      </c>
      <c r="D5" s="11" t="s">
        <v>125</v>
      </c>
      <c r="E5" s="11" t="s">
        <v>126</v>
      </c>
      <c r="F5" s="11" t="s">
        <v>127</v>
      </c>
      <c r="G5" s="11" t="s">
        <v>128</v>
      </c>
      <c r="I5" s="8" t="s">
        <v>189</v>
      </c>
      <c r="J5" s="27">
        <f t="shared" ref="J5:J7" si="1">D7</f>
        <v>4.990897</v>
      </c>
      <c r="K5" s="27">
        <f t="shared" ref="K5:K7" si="2">D16</f>
        <v>5.809437</v>
      </c>
      <c r="L5" s="27">
        <f t="shared" ref="L5:L7" si="3">D25</f>
        <v>6.086923</v>
      </c>
      <c r="M5" s="27">
        <f t="shared" ref="M5:M7" si="4">D34</f>
        <v>4.975853</v>
      </c>
      <c r="N5" s="27">
        <f t="shared" ref="N5:N7" si="5">D43</f>
        <v>4.475604</v>
      </c>
      <c r="O5" s="27">
        <f t="shared" ref="O5:O7" si="6">D52</f>
        <v>4.950418</v>
      </c>
      <c r="P5" s="27">
        <f t="shared" ref="P5:P7" si="7">D61</f>
        <v>5.077192</v>
      </c>
      <c r="Q5" s="27">
        <f t="shared" ref="Q5:Q7" si="8">D70</f>
        <v>5.818693</v>
      </c>
      <c r="R5" s="27">
        <f t="shared" ref="R5:R7" si="9">D79</f>
        <v>6.229038</v>
      </c>
      <c r="S5" s="27">
        <f t="shared" ref="S5:S7" si="10">D87</f>
        <v>6.601866</v>
      </c>
      <c r="T5" s="27">
        <f t="shared" ref="T5:T7" si="11">D95</f>
        <v>6.206723</v>
      </c>
    </row>
    <row r="6">
      <c r="I6" s="8" t="s">
        <v>190</v>
      </c>
      <c r="J6" s="27">
        <f t="shared" si="1"/>
        <v>5.589991</v>
      </c>
      <c r="K6" s="27">
        <f t="shared" si="2"/>
        <v>5.838165</v>
      </c>
      <c r="L6" s="27">
        <f t="shared" si="3"/>
        <v>5.914755</v>
      </c>
      <c r="M6" s="27">
        <f t="shared" si="4"/>
        <v>5.732684</v>
      </c>
      <c r="N6" s="27">
        <f t="shared" si="5"/>
        <v>5.316105</v>
      </c>
      <c r="O6" s="27">
        <f t="shared" si="6"/>
        <v>5.546742</v>
      </c>
      <c r="P6" s="27">
        <f t="shared" si="7"/>
        <v>5.477203</v>
      </c>
      <c r="Q6" s="27">
        <f t="shared" si="8"/>
        <v>6.040242</v>
      </c>
      <c r="R6" s="27">
        <f t="shared" si="9"/>
        <v>6.284128</v>
      </c>
      <c r="S6" s="27">
        <f t="shared" si="10"/>
        <v>6.722403</v>
      </c>
      <c r="T6" s="27">
        <f t="shared" si="11"/>
        <v>6.276796</v>
      </c>
    </row>
    <row r="7">
      <c r="A7" s="11" t="s">
        <v>191</v>
      </c>
      <c r="B7" s="10">
        <v>1952.0</v>
      </c>
      <c r="C7" s="11">
        <v>293.466324</v>
      </c>
      <c r="D7" s="11">
        <v>4.990897</v>
      </c>
      <c r="E7" s="11">
        <v>2.418653</v>
      </c>
      <c r="F7" s="11">
        <v>0.0</v>
      </c>
      <c r="G7" s="11">
        <v>10.0</v>
      </c>
      <c r="I7" s="8" t="s">
        <v>192</v>
      </c>
      <c r="J7" s="27">
        <f t="shared" si="1"/>
        <v>5.362019</v>
      </c>
      <c r="K7" s="27">
        <f t="shared" si="2"/>
        <v>5.616997</v>
      </c>
      <c r="L7" s="27">
        <f t="shared" si="3"/>
        <v>5.757452</v>
      </c>
      <c r="M7" s="27">
        <f t="shared" si="4"/>
        <v>5.516215</v>
      </c>
      <c r="N7" s="27">
        <f t="shared" si="5"/>
        <v>5.134525</v>
      </c>
      <c r="O7" s="27">
        <f t="shared" si="6"/>
        <v>5.473944</v>
      </c>
      <c r="P7" s="27">
        <f t="shared" si="7"/>
        <v>5.433931</v>
      </c>
      <c r="Q7" s="27">
        <f t="shared" si="8"/>
        <v>6.073053</v>
      </c>
      <c r="R7" s="27">
        <f t="shared" si="9"/>
        <v>6.411335</v>
      </c>
      <c r="S7" s="27">
        <f t="shared" si="10"/>
        <v>6.866089</v>
      </c>
      <c r="T7" s="27">
        <f t="shared" si="11"/>
        <v>6.259204</v>
      </c>
    </row>
    <row r="8">
      <c r="A8" s="11" t="s">
        <v>193</v>
      </c>
      <c r="B8" s="10">
        <v>1938.0</v>
      </c>
      <c r="C8" s="11">
        <v>292.45595</v>
      </c>
      <c r="D8" s="11">
        <v>5.589991</v>
      </c>
      <c r="E8" s="11">
        <v>2.483846</v>
      </c>
      <c r="F8" s="11">
        <v>0.0</v>
      </c>
      <c r="G8" s="11">
        <v>10.0</v>
      </c>
    </row>
    <row r="9" ht="42.75" customHeight="1">
      <c r="A9" s="11" t="s">
        <v>194</v>
      </c>
      <c r="B9" s="10">
        <v>1945.0</v>
      </c>
      <c r="C9" s="11">
        <v>292.354136</v>
      </c>
      <c r="D9" s="11">
        <v>5.362019</v>
      </c>
      <c r="E9" s="11">
        <v>2.298389</v>
      </c>
      <c r="F9" s="11">
        <v>0.0</v>
      </c>
      <c r="G9" s="11">
        <v>10.0</v>
      </c>
      <c r="I9" s="18" t="s">
        <v>195</v>
      </c>
    </row>
    <row r="12">
      <c r="A12" s="22" t="s">
        <v>120</v>
      </c>
      <c r="B12" s="22">
        <v>2.0</v>
      </c>
    </row>
    <row r="14">
      <c r="A14" s="11" t="s">
        <v>122</v>
      </c>
      <c r="B14" s="11" t="s">
        <v>123</v>
      </c>
      <c r="C14" s="11" t="s">
        <v>124</v>
      </c>
      <c r="D14" s="11" t="s">
        <v>125</v>
      </c>
      <c r="E14" s="11" t="s">
        <v>126</v>
      </c>
      <c r="F14" s="11" t="s">
        <v>127</v>
      </c>
      <c r="G14" s="11" t="s">
        <v>128</v>
      </c>
    </row>
    <row r="16">
      <c r="A16" s="11" t="s">
        <v>191</v>
      </c>
      <c r="B16" s="10">
        <v>2212.0</v>
      </c>
      <c r="C16" s="11">
        <v>308.867373</v>
      </c>
      <c r="D16" s="11">
        <v>5.809437</v>
      </c>
      <c r="E16" s="11">
        <v>2.409994</v>
      </c>
      <c r="F16" s="11">
        <v>0.0</v>
      </c>
      <c r="G16" s="11">
        <v>10.0</v>
      </c>
    </row>
    <row r="17">
      <c r="A17" s="11" t="s">
        <v>193</v>
      </c>
      <c r="B17" s="10">
        <v>2183.0</v>
      </c>
      <c r="C17" s="11">
        <v>306.223177</v>
      </c>
      <c r="D17" s="11">
        <v>5.838165</v>
      </c>
      <c r="E17" s="11">
        <v>2.327105</v>
      </c>
      <c r="F17" s="11">
        <v>0.0</v>
      </c>
      <c r="G17" s="11">
        <v>10.0</v>
      </c>
    </row>
    <row r="18">
      <c r="A18" s="11" t="s">
        <v>194</v>
      </c>
      <c r="B18" s="10">
        <v>2209.0</v>
      </c>
      <c r="C18" s="11">
        <v>308.76505</v>
      </c>
      <c r="D18" s="11">
        <v>5.616997</v>
      </c>
      <c r="E18" s="11">
        <v>2.347259</v>
      </c>
      <c r="F18" s="11">
        <v>0.0</v>
      </c>
      <c r="G18" s="11">
        <v>10.0</v>
      </c>
    </row>
    <row r="21" ht="15.75" customHeight="1">
      <c r="A21" s="22" t="s">
        <v>120</v>
      </c>
      <c r="B21" s="22">
        <v>3.0</v>
      </c>
    </row>
    <row r="22" ht="15.75" customHeight="1"/>
    <row r="23" ht="15.75" customHeight="1">
      <c r="A23" s="11" t="s">
        <v>122</v>
      </c>
      <c r="B23" s="11" t="s">
        <v>123</v>
      </c>
      <c r="C23" s="11" t="s">
        <v>124</v>
      </c>
      <c r="D23" s="11" t="s">
        <v>125</v>
      </c>
      <c r="E23" s="11" t="s">
        <v>126</v>
      </c>
      <c r="F23" s="11" t="s">
        <v>127</v>
      </c>
      <c r="G23" s="11" t="s">
        <v>128</v>
      </c>
    </row>
    <row r="24" ht="15.75" customHeight="1"/>
    <row r="25" ht="15.75" customHeight="1">
      <c r="A25" s="11" t="s">
        <v>191</v>
      </c>
      <c r="B25" s="10">
        <v>1736.0</v>
      </c>
      <c r="C25" s="11">
        <v>327.095136</v>
      </c>
      <c r="D25" s="11">
        <v>6.086923</v>
      </c>
      <c r="E25" s="11">
        <v>2.478981</v>
      </c>
      <c r="F25" s="11">
        <v>0.0</v>
      </c>
      <c r="G25" s="11">
        <v>10.0</v>
      </c>
    </row>
    <row r="26" ht="15.75" customHeight="1">
      <c r="A26" s="11" t="s">
        <v>193</v>
      </c>
      <c r="B26" s="10">
        <v>1737.0</v>
      </c>
      <c r="C26" s="11">
        <v>326.312978</v>
      </c>
      <c r="D26" s="11">
        <v>5.914755</v>
      </c>
      <c r="E26" s="11">
        <v>2.477331</v>
      </c>
      <c r="F26" s="11">
        <v>0.0</v>
      </c>
      <c r="G26" s="11">
        <v>10.0</v>
      </c>
    </row>
    <row r="27" ht="15.75" customHeight="1">
      <c r="A27" s="11" t="s">
        <v>194</v>
      </c>
      <c r="B27" s="10">
        <v>1740.0</v>
      </c>
      <c r="C27" s="11">
        <v>327.708067</v>
      </c>
      <c r="D27" s="11">
        <v>5.757452</v>
      </c>
      <c r="E27" s="11">
        <v>2.406738</v>
      </c>
      <c r="F27" s="11">
        <v>0.0</v>
      </c>
      <c r="G27" s="11">
        <v>10.0</v>
      </c>
    </row>
    <row r="28" ht="15.75" customHeight="1"/>
    <row r="29" ht="15.75" customHeight="1"/>
    <row r="30" ht="15.75" customHeight="1">
      <c r="A30" s="22" t="s">
        <v>120</v>
      </c>
      <c r="B30" s="22">
        <v>4.0</v>
      </c>
    </row>
    <row r="31" ht="15.75" customHeight="1">
      <c r="A31" s="5"/>
      <c r="B31" s="5"/>
    </row>
    <row r="32" ht="15.75" customHeight="1">
      <c r="A32" s="11" t="s">
        <v>122</v>
      </c>
      <c r="B32" s="11" t="s">
        <v>123</v>
      </c>
      <c r="C32" s="11" t="s">
        <v>124</v>
      </c>
      <c r="D32" s="11" t="s">
        <v>125</v>
      </c>
      <c r="E32" s="11" t="s">
        <v>126</v>
      </c>
      <c r="F32" s="11" t="s">
        <v>127</v>
      </c>
      <c r="G32" s="11" t="s">
        <v>128</v>
      </c>
    </row>
    <row r="33" ht="15.75" customHeight="1"/>
    <row r="34" ht="15.75" customHeight="1">
      <c r="A34" s="11" t="s">
        <v>191</v>
      </c>
      <c r="B34" s="10">
        <v>1753.0</v>
      </c>
      <c r="C34" s="11">
        <v>347.896308</v>
      </c>
      <c r="D34" s="11">
        <v>4.975853</v>
      </c>
      <c r="E34" s="11">
        <v>2.415707</v>
      </c>
      <c r="F34" s="11">
        <v>0.0</v>
      </c>
      <c r="G34" s="11">
        <v>10.0</v>
      </c>
    </row>
    <row r="35" ht="15.75" customHeight="1">
      <c r="A35" s="11" t="s">
        <v>193</v>
      </c>
      <c r="B35" s="10">
        <v>1747.0</v>
      </c>
      <c r="C35" s="11">
        <v>347.536289</v>
      </c>
      <c r="D35" s="11">
        <v>5.732684</v>
      </c>
      <c r="E35" s="11">
        <v>2.404102</v>
      </c>
      <c r="F35" s="11">
        <v>0.0</v>
      </c>
      <c r="G35" s="11">
        <v>10.0</v>
      </c>
    </row>
    <row r="36" ht="15.75" customHeight="1">
      <c r="A36" s="11" t="s">
        <v>194</v>
      </c>
      <c r="B36" s="10">
        <v>1753.0</v>
      </c>
      <c r="C36" s="11">
        <v>347.969722</v>
      </c>
      <c r="D36" s="11">
        <v>5.516215</v>
      </c>
      <c r="E36" s="11">
        <v>2.3272370000000002</v>
      </c>
      <c r="F36" s="11">
        <v>0.0</v>
      </c>
      <c r="G36" s="11">
        <v>10.0</v>
      </c>
    </row>
    <row r="37" ht="15.75" customHeight="1"/>
    <row r="38" ht="15.75" customHeight="1"/>
    <row r="39" ht="15.75" customHeight="1">
      <c r="A39" s="22" t="s">
        <v>120</v>
      </c>
      <c r="B39" s="22">
        <v>5.0</v>
      </c>
    </row>
    <row r="40" ht="15.75" customHeight="1"/>
    <row r="41" ht="15.75" customHeight="1">
      <c r="A41" s="11" t="s">
        <v>122</v>
      </c>
      <c r="B41" s="11" t="s">
        <v>123</v>
      </c>
      <c r="C41" s="11" t="s">
        <v>124</v>
      </c>
      <c r="D41" s="11" t="s">
        <v>125</v>
      </c>
      <c r="E41" s="11" t="s">
        <v>126</v>
      </c>
      <c r="F41" s="11" t="s">
        <v>127</v>
      </c>
      <c r="G41" s="11" t="s">
        <v>128</v>
      </c>
    </row>
    <row r="42" ht="15.75" customHeight="1"/>
    <row r="43" ht="15.75" customHeight="1">
      <c r="A43" s="11" t="s">
        <v>191</v>
      </c>
      <c r="B43" s="10">
        <v>2528.0</v>
      </c>
      <c r="C43" s="11">
        <v>345.377387</v>
      </c>
      <c r="D43" s="11">
        <v>4.475604</v>
      </c>
      <c r="E43" s="11">
        <v>2.493935</v>
      </c>
      <c r="F43" s="11">
        <v>0.0</v>
      </c>
      <c r="G43" s="11">
        <v>10.0</v>
      </c>
    </row>
    <row r="44" ht="15.75" customHeight="1">
      <c r="A44" s="11" t="s">
        <v>193</v>
      </c>
      <c r="B44" s="10">
        <v>2504.0</v>
      </c>
      <c r="C44" s="11">
        <v>342.85688</v>
      </c>
      <c r="D44" s="11">
        <v>5.316105</v>
      </c>
      <c r="E44" s="11">
        <v>2.513107</v>
      </c>
      <c r="F44" s="11">
        <v>0.0</v>
      </c>
      <c r="G44" s="11">
        <v>10.0</v>
      </c>
    </row>
    <row r="45" ht="15.75" customHeight="1">
      <c r="A45" s="11" t="s">
        <v>194</v>
      </c>
      <c r="B45" s="10">
        <v>2515.0</v>
      </c>
      <c r="C45" s="11">
        <v>344.690601</v>
      </c>
      <c r="D45" s="11">
        <v>5.134525</v>
      </c>
      <c r="E45" s="11">
        <v>2.438879</v>
      </c>
      <c r="F45" s="11">
        <v>0.0</v>
      </c>
      <c r="G45" s="11">
        <v>10.0</v>
      </c>
    </row>
    <row r="46" ht="15.75" customHeight="1"/>
    <row r="47" ht="15.75" customHeight="1"/>
    <row r="48" ht="15.75" customHeight="1">
      <c r="A48" s="22" t="s">
        <v>120</v>
      </c>
      <c r="B48" s="22">
        <v>6.0</v>
      </c>
    </row>
    <row r="49" ht="15.75" customHeight="1"/>
    <row r="50" ht="15.75" customHeight="1">
      <c r="A50" s="11" t="s">
        <v>122</v>
      </c>
      <c r="B50" s="11" t="s">
        <v>123</v>
      </c>
      <c r="C50" s="11" t="s">
        <v>124</v>
      </c>
      <c r="D50" s="11" t="s">
        <v>125</v>
      </c>
      <c r="E50" s="11" t="s">
        <v>126</v>
      </c>
      <c r="F50" s="11" t="s">
        <v>127</v>
      </c>
      <c r="G50" s="11" t="s">
        <v>128</v>
      </c>
    </row>
    <row r="51" ht="15.75" customHeight="1"/>
    <row r="52" ht="15.75" customHeight="1">
      <c r="A52" s="11" t="s">
        <v>191</v>
      </c>
      <c r="B52" s="10">
        <v>2589.0</v>
      </c>
      <c r="C52" s="11">
        <v>354.44656</v>
      </c>
      <c r="D52" s="11">
        <v>4.950418</v>
      </c>
      <c r="E52" s="11">
        <v>2.662794</v>
      </c>
      <c r="F52" s="11">
        <v>0.0</v>
      </c>
      <c r="G52" s="11">
        <v>10.0</v>
      </c>
    </row>
    <row r="53" ht="15.75" customHeight="1">
      <c r="A53" s="11" t="s">
        <v>193</v>
      </c>
      <c r="B53" s="10">
        <v>2563.0</v>
      </c>
      <c r="C53" s="11">
        <v>349.680282</v>
      </c>
      <c r="D53" s="11">
        <v>5.546742</v>
      </c>
      <c r="E53" s="11">
        <v>2.62605</v>
      </c>
      <c r="F53" s="11">
        <v>0.0</v>
      </c>
      <c r="G53" s="11">
        <v>10.0</v>
      </c>
    </row>
    <row r="54" ht="15.75" customHeight="1">
      <c r="A54" s="11" t="s">
        <v>194</v>
      </c>
      <c r="B54" s="10">
        <v>2582.0</v>
      </c>
      <c r="C54" s="11">
        <v>353.59506</v>
      </c>
      <c r="D54" s="11">
        <v>5.473944</v>
      </c>
      <c r="E54" s="11">
        <v>2.620137</v>
      </c>
      <c r="F54" s="11">
        <v>0.0</v>
      </c>
      <c r="G54" s="11">
        <v>10.0</v>
      </c>
    </row>
    <row r="55" ht="15.75" customHeight="1"/>
    <row r="56" ht="15.75" customHeight="1"/>
    <row r="57" ht="15.75" customHeight="1">
      <c r="A57" s="22" t="s">
        <v>120</v>
      </c>
      <c r="B57" s="22">
        <v>7.0</v>
      </c>
    </row>
    <row r="58" ht="15.75" customHeight="1"/>
    <row r="59" ht="15.75" customHeight="1">
      <c r="A59" s="11" t="s">
        <v>122</v>
      </c>
      <c r="B59" s="11" t="s">
        <v>123</v>
      </c>
      <c r="C59" s="11" t="s">
        <v>124</v>
      </c>
      <c r="D59" s="11" t="s">
        <v>125</v>
      </c>
      <c r="E59" s="11" t="s">
        <v>126</v>
      </c>
      <c r="F59" s="11" t="s">
        <v>127</v>
      </c>
      <c r="G59" s="11" t="s">
        <v>128</v>
      </c>
    </row>
    <row r="60" ht="15.75" customHeight="1"/>
    <row r="61" ht="15.75" customHeight="1">
      <c r="A61" s="11" t="s">
        <v>191</v>
      </c>
      <c r="B61" s="10">
        <v>2330.0</v>
      </c>
      <c r="C61" s="11">
        <v>350.548538</v>
      </c>
      <c r="D61" s="11">
        <v>5.077192</v>
      </c>
      <c r="E61" s="11">
        <v>2.524732</v>
      </c>
      <c r="F61" s="11">
        <v>0.0</v>
      </c>
      <c r="G61" s="11">
        <v>10.0</v>
      </c>
    </row>
    <row r="62" ht="15.75" customHeight="1">
      <c r="A62" s="11" t="s">
        <v>193</v>
      </c>
      <c r="B62" s="10">
        <v>2299.0</v>
      </c>
      <c r="C62" s="11">
        <v>346.15875</v>
      </c>
      <c r="D62" s="11">
        <v>5.477203</v>
      </c>
      <c r="E62" s="11">
        <v>2.437866</v>
      </c>
      <c r="F62" s="11">
        <v>0.0</v>
      </c>
      <c r="G62" s="11">
        <v>10.0</v>
      </c>
    </row>
    <row r="63" ht="15.75" customHeight="1">
      <c r="A63" s="11" t="s">
        <v>194</v>
      </c>
      <c r="B63" s="10">
        <v>2343.0</v>
      </c>
      <c r="C63" s="11">
        <v>353.009296</v>
      </c>
      <c r="D63" s="11">
        <v>5.433931</v>
      </c>
      <c r="E63" s="11">
        <v>2.366331</v>
      </c>
      <c r="F63" s="11">
        <v>0.0</v>
      </c>
      <c r="G63" s="11">
        <v>10.0</v>
      </c>
    </row>
    <row r="64" ht="15.75" customHeight="1"/>
    <row r="65" ht="15.75" customHeight="1"/>
    <row r="66" ht="15.75" customHeight="1">
      <c r="A66" s="22" t="s">
        <v>120</v>
      </c>
      <c r="B66" s="22">
        <v>8.0</v>
      </c>
    </row>
    <row r="67" ht="15.75" customHeight="1"/>
    <row r="68" ht="15.75" customHeight="1">
      <c r="A68" s="11" t="s">
        <v>122</v>
      </c>
      <c r="B68" s="11" t="s">
        <v>123</v>
      </c>
      <c r="C68" s="11" t="s">
        <v>124</v>
      </c>
      <c r="D68" s="11" t="s">
        <v>125</v>
      </c>
      <c r="E68" s="11" t="s">
        <v>126</v>
      </c>
      <c r="F68" s="11" t="s">
        <v>127</v>
      </c>
      <c r="G68" s="11" t="s">
        <v>128</v>
      </c>
    </row>
    <row r="69" ht="15.75" customHeight="1"/>
    <row r="70" ht="15.75" customHeight="1">
      <c r="A70" s="11" t="s">
        <v>191</v>
      </c>
      <c r="B70" s="10">
        <v>2699.0</v>
      </c>
      <c r="C70" s="11">
        <v>362.140263</v>
      </c>
      <c r="D70" s="11">
        <v>5.818693</v>
      </c>
      <c r="E70" s="11">
        <v>2.463137</v>
      </c>
      <c r="F70" s="11">
        <v>0.0</v>
      </c>
      <c r="G70" s="11">
        <v>10.0</v>
      </c>
    </row>
    <row r="71" ht="15.75" customHeight="1">
      <c r="A71" s="11" t="s">
        <v>193</v>
      </c>
      <c r="B71" s="10">
        <v>2683.0</v>
      </c>
      <c r="C71" s="11">
        <v>360.722495</v>
      </c>
      <c r="D71" s="11">
        <v>6.040242</v>
      </c>
      <c r="E71" s="11">
        <v>2.386563</v>
      </c>
      <c r="F71" s="11">
        <v>0.0</v>
      </c>
      <c r="G71" s="11">
        <v>10.0</v>
      </c>
    </row>
    <row r="72" ht="15.75" customHeight="1">
      <c r="A72" s="11" t="s">
        <v>194</v>
      </c>
      <c r="B72" s="10">
        <v>2728.0</v>
      </c>
      <c r="C72" s="11">
        <v>365.128321</v>
      </c>
      <c r="D72" s="11">
        <v>6.073053</v>
      </c>
      <c r="E72" s="11">
        <v>2.408988</v>
      </c>
      <c r="F72" s="11">
        <v>0.0</v>
      </c>
      <c r="G72" s="11">
        <v>10.0</v>
      </c>
    </row>
    <row r="73" ht="15.75" customHeight="1"/>
    <row r="74" ht="15.75" customHeight="1"/>
    <row r="75" ht="15.75" customHeight="1">
      <c r="A75" s="22" t="s">
        <v>120</v>
      </c>
      <c r="B75" s="22">
        <v>9.0</v>
      </c>
    </row>
    <row r="76" ht="15.75" customHeight="1"/>
    <row r="77" ht="15.75" customHeight="1">
      <c r="A77" s="11" t="s">
        <v>122</v>
      </c>
      <c r="B77" s="11" t="s">
        <v>123</v>
      </c>
      <c r="C77" s="11" t="s">
        <v>124</v>
      </c>
      <c r="D77" s="11" t="s">
        <v>125</v>
      </c>
      <c r="E77" s="11" t="s">
        <v>126</v>
      </c>
      <c r="F77" s="11" t="s">
        <v>127</v>
      </c>
      <c r="G77" s="11" t="s">
        <v>128</v>
      </c>
    </row>
    <row r="78" ht="15.75" customHeight="1"/>
    <row r="79" ht="15.75" customHeight="1">
      <c r="A79" s="11" t="s">
        <v>191</v>
      </c>
      <c r="B79" s="10">
        <v>2181.0</v>
      </c>
      <c r="C79" s="11">
        <v>376.186125</v>
      </c>
      <c r="D79" s="11">
        <v>6.229038</v>
      </c>
      <c r="E79" s="11">
        <v>2.354745</v>
      </c>
      <c r="F79" s="11">
        <v>0.0</v>
      </c>
      <c r="G79" s="11">
        <v>10.0</v>
      </c>
    </row>
    <row r="80" ht="15.75" customHeight="1">
      <c r="A80" s="11" t="s">
        <v>193</v>
      </c>
      <c r="B80" s="10">
        <v>2171.0</v>
      </c>
      <c r="C80" s="11">
        <v>374.026255</v>
      </c>
      <c r="D80" s="11">
        <v>6.284128</v>
      </c>
      <c r="E80" s="11">
        <v>2.35001</v>
      </c>
      <c r="F80" s="11">
        <v>0.0</v>
      </c>
      <c r="G80" s="11">
        <v>10.0</v>
      </c>
    </row>
    <row r="81" ht="15.75" customHeight="1">
      <c r="A81" s="11" t="s">
        <v>194</v>
      </c>
      <c r="B81" s="10">
        <v>2177.0</v>
      </c>
      <c r="C81" s="11">
        <v>375.522779</v>
      </c>
      <c r="D81" s="11">
        <v>6.411335</v>
      </c>
      <c r="E81" s="11">
        <v>2.237318</v>
      </c>
      <c r="F81" s="11">
        <v>0.0</v>
      </c>
      <c r="G81" s="11">
        <v>10.0</v>
      </c>
    </row>
    <row r="82" ht="15.75" customHeight="1"/>
    <row r="83" ht="15.75" customHeight="1">
      <c r="A83" s="22" t="s">
        <v>120</v>
      </c>
      <c r="B83" s="22">
        <v>10.0</v>
      </c>
    </row>
    <row r="84" ht="15.75" customHeight="1"/>
    <row r="85" ht="15.75" customHeight="1">
      <c r="A85" s="11" t="s">
        <v>122</v>
      </c>
      <c r="B85" s="11" t="s">
        <v>123</v>
      </c>
      <c r="C85" s="11" t="s">
        <v>124</v>
      </c>
      <c r="D85" s="11" t="s">
        <v>125</v>
      </c>
      <c r="E85" s="11" t="s">
        <v>126</v>
      </c>
      <c r="F85" s="11" t="s">
        <v>127</v>
      </c>
      <c r="G85" s="11" t="s">
        <v>128</v>
      </c>
    </row>
    <row r="86" ht="15.75" customHeight="1"/>
    <row r="87" ht="15.75" customHeight="1">
      <c r="A87" s="11" t="s">
        <v>191</v>
      </c>
      <c r="B87" s="10">
        <v>1727.0</v>
      </c>
      <c r="C87" s="11">
        <v>390.962306</v>
      </c>
      <c r="D87" s="11">
        <v>6.601866</v>
      </c>
      <c r="E87" s="11">
        <v>2.393623</v>
      </c>
      <c r="F87" s="11">
        <v>0.0</v>
      </c>
      <c r="G87" s="11">
        <v>10.0</v>
      </c>
    </row>
    <row r="88" ht="15.75" customHeight="1">
      <c r="A88" s="11" t="s">
        <v>193</v>
      </c>
      <c r="B88" s="10">
        <v>1721.0</v>
      </c>
      <c r="C88" s="11">
        <v>391.881152</v>
      </c>
      <c r="D88" s="11">
        <v>6.722403</v>
      </c>
      <c r="E88" s="11">
        <v>2.38168</v>
      </c>
      <c r="F88" s="11">
        <v>0.0</v>
      </c>
      <c r="G88" s="11">
        <v>10.0</v>
      </c>
    </row>
    <row r="89" ht="15.75" customHeight="1">
      <c r="A89" s="11" t="s">
        <v>194</v>
      </c>
      <c r="B89" s="10">
        <v>1721.0</v>
      </c>
      <c r="C89" s="11">
        <v>392.311082</v>
      </c>
      <c r="D89" s="11">
        <v>6.866089</v>
      </c>
      <c r="E89" s="11">
        <v>2.24273</v>
      </c>
      <c r="F89" s="11">
        <v>0.0</v>
      </c>
      <c r="G89" s="11">
        <v>10.0</v>
      </c>
    </row>
    <row r="90" ht="15.75" customHeight="1">
      <c r="B90" s="10"/>
    </row>
    <row r="91" ht="15.75" customHeight="1">
      <c r="A91" s="22" t="s">
        <v>120</v>
      </c>
      <c r="B91" s="22">
        <v>11.0</v>
      </c>
    </row>
    <row r="92" ht="15.75" customHeight="1">
      <c r="B92" s="10"/>
    </row>
    <row r="93" ht="15.75" customHeight="1">
      <c r="A93" s="11" t="s">
        <v>122</v>
      </c>
      <c r="B93" s="10" t="s">
        <v>123</v>
      </c>
      <c r="C93" s="11" t="s">
        <v>124</v>
      </c>
      <c r="D93" s="11" t="s">
        <v>125</v>
      </c>
      <c r="E93" s="11" t="s">
        <v>126</v>
      </c>
      <c r="F93" s="11" t="s">
        <v>127</v>
      </c>
      <c r="G93" s="11" t="s">
        <v>128</v>
      </c>
    </row>
    <row r="94" ht="15.75" customHeight="1">
      <c r="B94" s="10"/>
    </row>
    <row r="95" ht="15.75" customHeight="1">
      <c r="A95" s="11" t="s">
        <v>191</v>
      </c>
      <c r="B95" s="10" t="s">
        <v>196</v>
      </c>
      <c r="C95" s="11">
        <v>416.788655</v>
      </c>
      <c r="D95" s="11">
        <v>6.206723</v>
      </c>
      <c r="E95" s="11">
        <v>2.593458</v>
      </c>
      <c r="F95" s="11">
        <v>0.0</v>
      </c>
      <c r="G95" s="11">
        <v>10.0</v>
      </c>
    </row>
    <row r="96" ht="15.75" customHeight="1">
      <c r="A96" s="11" t="s">
        <v>193</v>
      </c>
      <c r="B96" s="10" t="s">
        <v>196</v>
      </c>
      <c r="C96" s="11">
        <v>417.841721</v>
      </c>
      <c r="D96" s="11">
        <v>6.276796</v>
      </c>
      <c r="E96" s="11">
        <v>2.594029</v>
      </c>
      <c r="F96" s="11">
        <v>0.0</v>
      </c>
      <c r="G96" s="11">
        <v>10.0</v>
      </c>
    </row>
    <row r="97" ht="15.75" customHeight="1">
      <c r="A97" s="11" t="s">
        <v>194</v>
      </c>
      <c r="B97" s="10" t="s">
        <v>197</v>
      </c>
      <c r="C97" s="11">
        <v>419.499236</v>
      </c>
      <c r="D97" s="11">
        <v>6.259204</v>
      </c>
      <c r="E97" s="11">
        <v>2.560446</v>
      </c>
      <c r="F97" s="11">
        <v>0.0</v>
      </c>
      <c r="G97" s="11">
        <v>10.0</v>
      </c>
    </row>
    <row r="98" ht="15.75" customHeight="1">
      <c r="B98" s="10"/>
    </row>
    <row r="99" ht="15.75" customHeight="1">
      <c r="B99" s="10"/>
    </row>
    <row r="100" ht="15.75" customHeight="1">
      <c r="A100" s="14" t="s">
        <v>7</v>
      </c>
      <c r="B100" s="15"/>
      <c r="C100" s="15"/>
      <c r="D100" s="15"/>
      <c r="E100" s="16"/>
    </row>
    <row r="101" ht="15.75" customHeight="1">
      <c r="A101" s="31" t="s">
        <v>189</v>
      </c>
      <c r="B101" s="15"/>
      <c r="C101" s="15"/>
      <c r="D101" s="16"/>
      <c r="F101" s="31" t="s">
        <v>190</v>
      </c>
      <c r="G101" s="15"/>
      <c r="H101" s="15"/>
      <c r="I101" s="16"/>
      <c r="K101" s="31" t="s">
        <v>192</v>
      </c>
      <c r="L101" s="15"/>
      <c r="M101" s="15"/>
      <c r="N101" s="16"/>
      <c r="P101" s="8"/>
      <c r="Q101" s="8" t="s">
        <v>189</v>
      </c>
      <c r="R101" s="8" t="s">
        <v>190</v>
      </c>
      <c r="S101" s="8" t="s">
        <v>192</v>
      </c>
      <c r="T101" s="8"/>
    </row>
    <row r="102" ht="15.75" customHeight="1">
      <c r="A102" s="22" t="s">
        <v>8</v>
      </c>
      <c r="P102" s="8" t="s">
        <v>8</v>
      </c>
      <c r="Q102" s="21">
        <f>C106</f>
        <v>42.04</v>
      </c>
      <c r="R102" s="21">
        <f>H106</f>
        <v>43.98</v>
      </c>
      <c r="S102" s="21">
        <f>M106</f>
        <v>36.71</v>
      </c>
      <c r="T102" s="8"/>
    </row>
    <row r="103" ht="15.75" customHeight="1">
      <c r="A103" s="11" t="s">
        <v>198</v>
      </c>
      <c r="B103" s="11" t="s">
        <v>23</v>
      </c>
      <c r="C103" s="11" t="s">
        <v>24</v>
      </c>
      <c r="D103" s="11" t="s">
        <v>25</v>
      </c>
      <c r="F103" s="11" t="s">
        <v>199</v>
      </c>
      <c r="G103" s="11" t="s">
        <v>23</v>
      </c>
      <c r="H103" s="11" t="s">
        <v>24</v>
      </c>
      <c r="I103" s="11" t="s">
        <v>25</v>
      </c>
      <c r="K103" s="11" t="s">
        <v>200</v>
      </c>
      <c r="L103" s="11" t="s">
        <v>23</v>
      </c>
      <c r="M103" s="11" t="s">
        <v>24</v>
      </c>
      <c r="N103" s="11" t="s">
        <v>25</v>
      </c>
      <c r="P103" s="8" t="s">
        <v>9</v>
      </c>
      <c r="Q103" s="21">
        <f>C114</f>
        <v>46.23</v>
      </c>
      <c r="R103" s="21">
        <f>H114</f>
        <v>52.2</v>
      </c>
      <c r="S103" s="21">
        <f>M114</f>
        <v>49.78</v>
      </c>
      <c r="T103" s="8"/>
    </row>
    <row r="104" ht="15.75" customHeight="1">
      <c r="P104" s="8" t="s">
        <v>10</v>
      </c>
      <c r="Q104" s="21">
        <f>C122</f>
        <v>54.12</v>
      </c>
      <c r="R104" s="21">
        <f>H122</f>
        <v>57.09</v>
      </c>
      <c r="S104" s="21">
        <f>M122</f>
        <v>58.17</v>
      </c>
      <c r="T104" s="8"/>
    </row>
    <row r="105" ht="15.75" customHeight="1">
      <c r="A105" s="11" t="s">
        <v>201</v>
      </c>
      <c r="B105" s="11">
        <v>111.281582</v>
      </c>
      <c r="C105" s="11">
        <v>57.96</v>
      </c>
      <c r="D105" s="11">
        <v>57.96</v>
      </c>
      <c r="F105" s="11" t="s">
        <v>201</v>
      </c>
      <c r="G105" s="11">
        <v>105.309761</v>
      </c>
      <c r="H105" s="11">
        <v>56.02</v>
      </c>
      <c r="I105" s="11">
        <v>56.02</v>
      </c>
      <c r="K105" s="11" t="s">
        <v>201</v>
      </c>
      <c r="L105" s="11">
        <v>120.891361</v>
      </c>
      <c r="M105" s="11">
        <v>63.29</v>
      </c>
      <c r="N105" s="11">
        <v>63.29</v>
      </c>
      <c r="P105" s="8" t="s">
        <v>11</v>
      </c>
      <c r="Q105" s="21">
        <f>C130</f>
        <v>61.91</v>
      </c>
      <c r="R105" s="21">
        <f>H130</f>
        <v>65.8</v>
      </c>
      <c r="S105" s="21">
        <f>M130</f>
        <v>60.86</v>
      </c>
      <c r="T105" s="8"/>
    </row>
    <row r="106" ht="15.75" customHeight="1">
      <c r="A106" s="11" t="s">
        <v>202</v>
      </c>
      <c r="B106" s="11">
        <v>80.7184181</v>
      </c>
      <c r="C106" s="11">
        <v>42.04</v>
      </c>
      <c r="D106" s="11">
        <v>100.0</v>
      </c>
      <c r="F106" s="11" t="s">
        <v>202</v>
      </c>
      <c r="G106" s="11">
        <v>82.69023926</v>
      </c>
      <c r="H106" s="11">
        <v>43.98</v>
      </c>
      <c r="I106" s="11">
        <v>100.0</v>
      </c>
      <c r="K106" s="11" t="s">
        <v>202</v>
      </c>
      <c r="L106" s="11">
        <v>70.1086391</v>
      </c>
      <c r="M106" s="11">
        <v>36.71</v>
      </c>
      <c r="N106" s="11">
        <v>100.0</v>
      </c>
      <c r="P106" s="8" t="s">
        <v>203</v>
      </c>
      <c r="Q106" s="21">
        <f>C138</f>
        <v>78.24</v>
      </c>
      <c r="R106" s="21">
        <f>H138</f>
        <v>80.62</v>
      </c>
      <c r="S106" s="21">
        <f>M138</f>
        <v>79.62</v>
      </c>
      <c r="T106" s="8"/>
    </row>
    <row r="107" ht="15.75" customHeight="1"/>
    <row r="108" ht="38.25" customHeight="1">
      <c r="A108" s="11" t="s">
        <v>32</v>
      </c>
      <c r="B108" s="11">
        <v>192.0</v>
      </c>
      <c r="C108" s="11">
        <v>100.0</v>
      </c>
      <c r="F108" s="11" t="s">
        <v>32</v>
      </c>
      <c r="G108" s="11">
        <v>188.0</v>
      </c>
      <c r="H108" s="11">
        <v>100.0</v>
      </c>
      <c r="K108" s="11" t="s">
        <v>32</v>
      </c>
      <c r="L108" s="11">
        <v>191.0</v>
      </c>
      <c r="M108" s="11">
        <v>100.0</v>
      </c>
      <c r="P108" s="18" t="s">
        <v>204</v>
      </c>
    </row>
    <row r="109" ht="15.75" customHeight="1"/>
    <row r="110" ht="15.75" customHeight="1">
      <c r="A110" s="22" t="s">
        <v>9</v>
      </c>
    </row>
    <row r="111" ht="15.75" customHeight="1">
      <c r="A111" s="11" t="s">
        <v>198</v>
      </c>
      <c r="B111" s="11" t="s">
        <v>23</v>
      </c>
      <c r="C111" s="11" t="s">
        <v>24</v>
      </c>
      <c r="D111" s="11" t="s">
        <v>25</v>
      </c>
      <c r="F111" s="11" t="s">
        <v>199</v>
      </c>
      <c r="G111" s="11" t="s">
        <v>23</v>
      </c>
      <c r="H111" s="11" t="s">
        <v>24</v>
      </c>
      <c r="I111" s="11" t="s">
        <v>25</v>
      </c>
      <c r="K111" s="11" t="s">
        <v>200</v>
      </c>
      <c r="L111" s="11" t="s">
        <v>23</v>
      </c>
      <c r="M111" s="11" t="s">
        <v>24</v>
      </c>
      <c r="N111" s="11" t="s">
        <v>25</v>
      </c>
    </row>
    <row r="112" ht="15.75" customHeight="1"/>
    <row r="113" ht="15.75" customHeight="1">
      <c r="A113" s="11" t="s">
        <v>201</v>
      </c>
      <c r="B113" s="11">
        <v>195.7298508</v>
      </c>
      <c r="C113" s="11">
        <v>53.77</v>
      </c>
      <c r="D113" s="11">
        <v>53.77</v>
      </c>
      <c r="F113" s="11" t="s">
        <v>201</v>
      </c>
      <c r="G113" s="11">
        <v>175.413988</v>
      </c>
      <c r="H113" s="11">
        <v>47.8</v>
      </c>
      <c r="I113" s="11">
        <v>47.8</v>
      </c>
      <c r="K113" s="11" t="s">
        <v>201</v>
      </c>
      <c r="L113" s="11">
        <v>182.8131628</v>
      </c>
      <c r="M113" s="11">
        <v>50.22</v>
      </c>
      <c r="N113" s="11">
        <v>50.22</v>
      </c>
    </row>
    <row r="114" ht="15.75" customHeight="1">
      <c r="A114" s="11" t="s">
        <v>202</v>
      </c>
      <c r="B114" s="11">
        <v>168.2701492</v>
      </c>
      <c r="C114" s="11">
        <v>46.23</v>
      </c>
      <c r="D114" s="11">
        <v>100.0</v>
      </c>
      <c r="F114" s="11" t="s">
        <v>202</v>
      </c>
      <c r="G114" s="11">
        <v>191.586012</v>
      </c>
      <c r="H114" s="11">
        <v>52.2</v>
      </c>
      <c r="I114" s="11">
        <v>100.0</v>
      </c>
      <c r="K114" s="11" t="s">
        <v>202</v>
      </c>
      <c r="L114" s="11">
        <v>181.1868372</v>
      </c>
      <c r="M114" s="11">
        <v>49.78</v>
      </c>
      <c r="N114" s="11">
        <v>100.0</v>
      </c>
    </row>
    <row r="115" ht="15.75" customHeight="1"/>
    <row r="116" ht="15.75" customHeight="1">
      <c r="A116" s="11" t="s">
        <v>32</v>
      </c>
      <c r="B116" s="11">
        <v>364.0</v>
      </c>
      <c r="C116" s="11">
        <v>100.0</v>
      </c>
      <c r="F116" s="11" t="s">
        <v>32</v>
      </c>
      <c r="G116" s="11">
        <v>367.0</v>
      </c>
      <c r="H116" s="11">
        <v>100.0</v>
      </c>
      <c r="K116" s="11" t="s">
        <v>32</v>
      </c>
      <c r="L116" s="11">
        <v>364.0</v>
      </c>
      <c r="M116" s="11">
        <v>100.0</v>
      </c>
    </row>
    <row r="117" ht="15.75" customHeight="1"/>
    <row r="118" ht="15.75" customHeight="1">
      <c r="A118" s="22" t="s">
        <v>10</v>
      </c>
    </row>
    <row r="119" ht="15.75" customHeight="1">
      <c r="A119" s="11" t="s">
        <v>198</v>
      </c>
      <c r="B119" s="11" t="s">
        <v>23</v>
      </c>
      <c r="C119" s="11" t="s">
        <v>24</v>
      </c>
      <c r="D119" s="11" t="s">
        <v>25</v>
      </c>
      <c r="F119" s="11" t="s">
        <v>199</v>
      </c>
      <c r="G119" s="11" t="s">
        <v>23</v>
      </c>
      <c r="H119" s="11" t="s">
        <v>24</v>
      </c>
      <c r="I119" s="11" t="s">
        <v>25</v>
      </c>
      <c r="K119" s="11" t="s">
        <v>200</v>
      </c>
      <c r="L119" s="11" t="s">
        <v>23</v>
      </c>
      <c r="M119" s="11" t="s">
        <v>24</v>
      </c>
      <c r="N119" s="11" t="s">
        <v>25</v>
      </c>
    </row>
    <row r="120" ht="15.75" customHeight="1"/>
    <row r="121" ht="15.75" customHeight="1">
      <c r="A121" s="11" t="s">
        <v>201</v>
      </c>
      <c r="B121" s="11">
        <v>186.29112</v>
      </c>
      <c r="C121" s="11">
        <v>45.88</v>
      </c>
      <c r="D121" s="11">
        <v>45.88</v>
      </c>
      <c r="F121" s="11" t="s">
        <v>201</v>
      </c>
      <c r="G121" s="11">
        <v>173.788825</v>
      </c>
      <c r="H121" s="11">
        <v>42.91</v>
      </c>
      <c r="I121" s="11">
        <v>42.91</v>
      </c>
      <c r="K121" s="11" t="s">
        <v>201</v>
      </c>
      <c r="L121" s="11">
        <v>172.331911</v>
      </c>
      <c r="M121" s="11">
        <v>41.83</v>
      </c>
      <c r="N121" s="11">
        <v>41.83</v>
      </c>
    </row>
    <row r="122" ht="15.75" customHeight="1">
      <c r="A122" s="11" t="s">
        <v>202</v>
      </c>
      <c r="B122" s="11">
        <v>219.70888</v>
      </c>
      <c r="C122" s="11">
        <v>54.12</v>
      </c>
      <c r="D122" s="11">
        <v>100.0</v>
      </c>
      <c r="F122" s="11" t="s">
        <v>202</v>
      </c>
      <c r="G122" s="11">
        <v>231.211175</v>
      </c>
      <c r="H122" s="11">
        <v>57.09</v>
      </c>
      <c r="I122" s="11">
        <v>100.0</v>
      </c>
      <c r="K122" s="11" t="s">
        <v>202</v>
      </c>
      <c r="L122" s="11">
        <v>239.668089</v>
      </c>
      <c r="M122" s="11">
        <v>58.17</v>
      </c>
      <c r="N122" s="11">
        <v>100.0</v>
      </c>
    </row>
    <row r="123" ht="15.75" customHeight="1"/>
    <row r="124" ht="15.75" customHeight="1">
      <c r="A124" s="11" t="s">
        <v>32</v>
      </c>
      <c r="B124" s="11">
        <v>406.0</v>
      </c>
      <c r="C124" s="11">
        <v>100.0</v>
      </c>
      <c r="F124" s="11" t="s">
        <v>32</v>
      </c>
      <c r="G124" s="11">
        <v>405.0</v>
      </c>
      <c r="H124" s="11">
        <v>100.0</v>
      </c>
      <c r="K124" s="11" t="s">
        <v>32</v>
      </c>
      <c r="L124" s="11">
        <v>412.0</v>
      </c>
      <c r="M124" s="11">
        <v>100.0</v>
      </c>
    </row>
    <row r="125" ht="15.75" customHeight="1"/>
    <row r="126" ht="15.75" customHeight="1">
      <c r="A126" s="22" t="s">
        <v>11</v>
      </c>
    </row>
    <row r="127" ht="15.75" customHeight="1">
      <c r="A127" s="11" t="s">
        <v>198</v>
      </c>
      <c r="B127" s="11" t="s">
        <v>23</v>
      </c>
      <c r="C127" s="11" t="s">
        <v>24</v>
      </c>
      <c r="D127" s="11" t="s">
        <v>25</v>
      </c>
      <c r="F127" s="11" t="s">
        <v>199</v>
      </c>
      <c r="G127" s="11" t="s">
        <v>23</v>
      </c>
      <c r="H127" s="11" t="s">
        <v>24</v>
      </c>
      <c r="I127" s="11" t="s">
        <v>25</v>
      </c>
      <c r="K127" s="11" t="s">
        <v>200</v>
      </c>
      <c r="L127" s="11" t="s">
        <v>23</v>
      </c>
      <c r="M127" s="11" t="s">
        <v>24</v>
      </c>
      <c r="N127" s="11" t="s">
        <v>25</v>
      </c>
    </row>
    <row r="128" ht="15.75" customHeight="1"/>
    <row r="129" ht="15.75" customHeight="1">
      <c r="A129" s="11" t="s">
        <v>201</v>
      </c>
      <c r="B129" s="11">
        <v>163.019063</v>
      </c>
      <c r="C129" s="11">
        <v>38.09</v>
      </c>
      <c r="D129" s="11">
        <v>38.09</v>
      </c>
      <c r="F129" s="11" t="s">
        <v>201</v>
      </c>
      <c r="G129" s="11">
        <v>146.721076</v>
      </c>
      <c r="H129" s="11">
        <v>34.2</v>
      </c>
      <c r="I129" s="11">
        <v>34.2</v>
      </c>
      <c r="K129" s="11" t="s">
        <v>201</v>
      </c>
      <c r="L129" s="11">
        <v>167.897165</v>
      </c>
      <c r="M129" s="11">
        <v>39.14</v>
      </c>
      <c r="N129" s="11">
        <v>39.14</v>
      </c>
    </row>
    <row r="130" ht="15.75" customHeight="1">
      <c r="A130" s="11" t="s">
        <v>202</v>
      </c>
      <c r="B130" s="11">
        <v>264.980937</v>
      </c>
      <c r="C130" s="11">
        <v>61.91</v>
      </c>
      <c r="D130" s="11">
        <v>100.0</v>
      </c>
      <c r="F130" s="11" t="s">
        <v>202</v>
      </c>
      <c r="G130" s="11">
        <v>282.278924</v>
      </c>
      <c r="H130" s="11">
        <v>65.8</v>
      </c>
      <c r="I130" s="11">
        <v>100.0</v>
      </c>
      <c r="K130" s="11" t="s">
        <v>202</v>
      </c>
      <c r="L130" s="11">
        <v>261.102835</v>
      </c>
      <c r="M130" s="11">
        <v>60.86</v>
      </c>
      <c r="N130" s="11">
        <v>100.0</v>
      </c>
    </row>
    <row r="131" ht="15.75" customHeight="1"/>
    <row r="132" ht="15.75" customHeight="1">
      <c r="A132" s="11" t="s">
        <v>32</v>
      </c>
      <c r="B132" s="11">
        <v>428.0</v>
      </c>
      <c r="C132" s="11">
        <v>100.0</v>
      </c>
      <c r="F132" s="11" t="s">
        <v>32</v>
      </c>
      <c r="G132" s="11">
        <v>429.0</v>
      </c>
      <c r="H132" s="11">
        <v>100.0</v>
      </c>
      <c r="K132" s="11" t="s">
        <v>32</v>
      </c>
      <c r="L132" s="11">
        <v>429.0</v>
      </c>
      <c r="M132" s="11">
        <v>100.0</v>
      </c>
    </row>
    <row r="133" ht="15.75" customHeight="1"/>
    <row r="134" ht="15.75" customHeight="1">
      <c r="A134" s="22" t="s">
        <v>203</v>
      </c>
    </row>
    <row r="135" ht="15.75" customHeight="1">
      <c r="A135" s="11" t="s">
        <v>198</v>
      </c>
      <c r="B135" s="11" t="s">
        <v>23</v>
      </c>
      <c r="C135" s="11" t="s">
        <v>24</v>
      </c>
      <c r="D135" s="11" t="s">
        <v>25</v>
      </c>
      <c r="F135" s="11" t="s">
        <v>199</v>
      </c>
      <c r="G135" s="11" t="s">
        <v>23</v>
      </c>
      <c r="H135" s="11" t="s">
        <v>24</v>
      </c>
      <c r="I135" s="11" t="s">
        <v>25</v>
      </c>
      <c r="K135" s="11" t="s">
        <v>200</v>
      </c>
      <c r="L135" s="11" t="s">
        <v>23</v>
      </c>
      <c r="M135" s="11" t="s">
        <v>24</v>
      </c>
      <c r="N135" s="11" t="s">
        <v>25</v>
      </c>
    </row>
    <row r="136" ht="15.75" customHeight="1"/>
    <row r="137" ht="15.75" customHeight="1">
      <c r="A137" s="11" t="s">
        <v>201</v>
      </c>
      <c r="B137" s="11">
        <v>125.982379</v>
      </c>
      <c r="C137" s="11">
        <v>21.76</v>
      </c>
      <c r="D137" s="11">
        <v>21.76</v>
      </c>
      <c r="F137" s="11" t="s">
        <v>201</v>
      </c>
      <c r="G137" s="11">
        <v>112.405956</v>
      </c>
      <c r="H137" s="11">
        <v>19.38</v>
      </c>
      <c r="I137" s="11">
        <v>19.38</v>
      </c>
      <c r="K137" s="11" t="s">
        <v>201</v>
      </c>
      <c r="L137" s="11">
        <v>117.795592</v>
      </c>
      <c r="M137" s="11">
        <v>20.38</v>
      </c>
      <c r="N137" s="11">
        <v>20.38</v>
      </c>
    </row>
    <row r="138" ht="15.75" customHeight="1">
      <c r="A138" s="11" t="s">
        <v>202</v>
      </c>
      <c r="B138" s="11">
        <v>453.017621</v>
      </c>
      <c r="C138" s="11">
        <v>78.24</v>
      </c>
      <c r="D138" s="11">
        <v>100.0</v>
      </c>
      <c r="F138" s="11" t="s">
        <v>202</v>
      </c>
      <c r="G138" s="11">
        <v>467.594044</v>
      </c>
      <c r="H138" s="11">
        <v>80.62</v>
      </c>
      <c r="I138" s="11">
        <v>100.0</v>
      </c>
      <c r="K138" s="11" t="s">
        <v>202</v>
      </c>
      <c r="L138" s="11">
        <v>460.204408</v>
      </c>
      <c r="M138" s="11">
        <v>79.62</v>
      </c>
      <c r="N138" s="11">
        <v>100.0</v>
      </c>
    </row>
    <row r="139" ht="15.75" customHeight="1"/>
    <row r="140" ht="15.75" customHeight="1">
      <c r="A140" s="11" t="s">
        <v>32</v>
      </c>
      <c r="B140" s="11">
        <v>579.0</v>
      </c>
      <c r="C140" s="11">
        <v>100.0</v>
      </c>
      <c r="F140" s="11" t="s">
        <v>32</v>
      </c>
      <c r="G140" s="11">
        <v>580.0</v>
      </c>
      <c r="H140" s="11">
        <v>100.0</v>
      </c>
      <c r="K140" s="11" t="s">
        <v>32</v>
      </c>
      <c r="L140" s="11">
        <v>578.0</v>
      </c>
      <c r="M140" s="11">
        <v>100.0</v>
      </c>
    </row>
    <row r="141" ht="15.75" customHeight="1"/>
    <row r="142" ht="15.75" customHeight="1">
      <c r="A142" s="14" t="s">
        <v>7</v>
      </c>
      <c r="B142" s="15"/>
      <c r="C142" s="15"/>
      <c r="D142" s="15"/>
      <c r="E142" s="16"/>
    </row>
    <row r="143" ht="15.75" customHeight="1">
      <c r="A143" s="22" t="s">
        <v>63</v>
      </c>
      <c r="G143" s="8" t="s">
        <v>189</v>
      </c>
      <c r="H143" s="8" t="s">
        <v>190</v>
      </c>
      <c r="I143" s="8" t="s">
        <v>192</v>
      </c>
    </row>
    <row r="144" ht="15.75" customHeight="1">
      <c r="A144" s="11" t="s">
        <v>198</v>
      </c>
      <c r="B144" s="11" t="s">
        <v>23</v>
      </c>
      <c r="C144" s="11" t="s">
        <v>24</v>
      </c>
      <c r="D144" s="11" t="s">
        <v>25</v>
      </c>
      <c r="F144" s="8" t="s">
        <v>63</v>
      </c>
      <c r="G144" s="21">
        <f>C147</f>
        <v>65.93</v>
      </c>
      <c r="H144" s="21">
        <f>C163</f>
        <v>69.36</v>
      </c>
      <c r="I144" s="21">
        <f>C179</f>
        <v>67.22</v>
      </c>
    </row>
    <row r="145" ht="15.75" customHeight="1">
      <c r="F145" s="8" t="s">
        <v>205</v>
      </c>
      <c r="G145" s="21">
        <f>C155</f>
        <v>52.46</v>
      </c>
      <c r="H145" s="21">
        <f>C171</f>
        <v>58.85</v>
      </c>
      <c r="I145" s="21">
        <f>C187</f>
        <v>51.73</v>
      </c>
    </row>
    <row r="146" ht="15.75" customHeight="1">
      <c r="A146" s="11" t="s">
        <v>201</v>
      </c>
      <c r="B146" s="11">
        <v>326.712163</v>
      </c>
      <c r="C146" s="11">
        <v>34.07</v>
      </c>
      <c r="D146" s="11">
        <v>34.07</v>
      </c>
    </row>
    <row r="147" ht="34.5" customHeight="1">
      <c r="A147" s="11" t="s">
        <v>202</v>
      </c>
      <c r="B147" s="11">
        <v>632.287837</v>
      </c>
      <c r="C147" s="11">
        <v>65.93</v>
      </c>
      <c r="D147" s="11">
        <v>100.0</v>
      </c>
      <c r="F147" s="18" t="s">
        <v>206</v>
      </c>
    </row>
    <row r="148" ht="15.75" customHeight="1"/>
    <row r="149" ht="15.75" customHeight="1">
      <c r="A149" s="11" t="s">
        <v>32</v>
      </c>
      <c r="B149" s="11">
        <v>959.0</v>
      </c>
      <c r="C149" s="11">
        <v>100.0</v>
      </c>
    </row>
    <row r="150" ht="15.75" customHeight="1"/>
    <row r="151" ht="15.75" customHeight="1">
      <c r="A151" s="22" t="s">
        <v>205</v>
      </c>
    </row>
    <row r="152" ht="15.75" customHeight="1">
      <c r="A152" s="11" t="s">
        <v>198</v>
      </c>
      <c r="B152" s="11" t="s">
        <v>23</v>
      </c>
      <c r="C152" s="11" t="s">
        <v>24</v>
      </c>
      <c r="D152" s="11" t="s">
        <v>25</v>
      </c>
    </row>
    <row r="153" ht="15.75" customHeight="1"/>
    <row r="154" ht="15.75" customHeight="1">
      <c r="A154" s="11" t="s">
        <v>201</v>
      </c>
      <c r="B154" s="11">
        <v>44.6918805</v>
      </c>
      <c r="C154" s="11">
        <v>47.54</v>
      </c>
      <c r="D154" s="11">
        <v>47.54</v>
      </c>
    </row>
    <row r="155" ht="15.75" customHeight="1">
      <c r="A155" s="11" t="s">
        <v>202</v>
      </c>
      <c r="B155" s="11">
        <v>49.3081195</v>
      </c>
      <c r="C155" s="11">
        <v>52.46</v>
      </c>
      <c r="D155" s="11">
        <v>100.0</v>
      </c>
    </row>
    <row r="156" ht="15.75" customHeight="1"/>
    <row r="157" ht="15.75" customHeight="1">
      <c r="A157" s="11" t="s">
        <v>32</v>
      </c>
      <c r="B157" s="11">
        <v>94.0</v>
      </c>
      <c r="C157" s="11">
        <v>100.0</v>
      </c>
    </row>
    <row r="158" ht="15.75" customHeight="1"/>
    <row r="159" ht="15.75" customHeight="1">
      <c r="A159" s="22" t="s">
        <v>63</v>
      </c>
    </row>
    <row r="160" ht="15.75" customHeight="1">
      <c r="A160" s="11" t="s">
        <v>199</v>
      </c>
      <c r="B160" s="11" t="s">
        <v>23</v>
      </c>
      <c r="C160" s="11" t="s">
        <v>24</v>
      </c>
      <c r="D160" s="11" t="s">
        <v>25</v>
      </c>
    </row>
    <row r="161" ht="15.75" customHeight="1"/>
    <row r="162" ht="15.75" customHeight="1">
      <c r="A162" s="11" t="s">
        <v>201</v>
      </c>
      <c r="B162" s="11">
        <v>294.43263</v>
      </c>
      <c r="C162" s="11">
        <v>30.64</v>
      </c>
      <c r="D162" s="11">
        <v>30.64</v>
      </c>
    </row>
    <row r="163" ht="15.75" customHeight="1">
      <c r="A163" s="11" t="s">
        <v>202</v>
      </c>
      <c r="B163" s="11">
        <v>666.56737</v>
      </c>
      <c r="C163" s="11">
        <v>69.36</v>
      </c>
      <c r="D163" s="11">
        <v>100.0</v>
      </c>
    </row>
    <row r="164" ht="15.75" customHeight="1"/>
    <row r="165" ht="15.75" customHeight="1">
      <c r="A165" s="11" t="s">
        <v>32</v>
      </c>
      <c r="B165" s="11">
        <v>961.0</v>
      </c>
      <c r="C165" s="11">
        <v>100.0</v>
      </c>
    </row>
    <row r="166" ht="15.75" customHeight="1"/>
    <row r="167" ht="15.75" customHeight="1">
      <c r="A167" s="22" t="s">
        <v>205</v>
      </c>
    </row>
    <row r="168" ht="15.75" customHeight="1">
      <c r="A168" s="11" t="s">
        <v>199</v>
      </c>
      <c r="B168" s="11" t="s">
        <v>23</v>
      </c>
      <c r="C168" s="11" t="s">
        <v>24</v>
      </c>
      <c r="D168" s="11" t="s">
        <v>25</v>
      </c>
    </row>
    <row r="169" ht="15.75" customHeight="1"/>
    <row r="170" ht="15.75" customHeight="1">
      <c r="A170" s="11" t="s">
        <v>201</v>
      </c>
      <c r="B170" s="11">
        <v>39.5010172</v>
      </c>
      <c r="C170" s="11">
        <v>41.15</v>
      </c>
      <c r="D170" s="11">
        <v>41.15</v>
      </c>
    </row>
    <row r="171" ht="15.75" customHeight="1">
      <c r="A171" s="11" t="s">
        <v>202</v>
      </c>
      <c r="B171" s="11">
        <v>56.4989828</v>
      </c>
      <c r="C171" s="11">
        <v>58.85</v>
      </c>
      <c r="D171" s="11">
        <v>100.0</v>
      </c>
    </row>
    <row r="172" ht="15.75" customHeight="1"/>
    <row r="173" ht="15.75" customHeight="1">
      <c r="A173" s="11" t="s">
        <v>32</v>
      </c>
      <c r="B173" s="11">
        <v>96.0</v>
      </c>
      <c r="C173" s="11">
        <v>100.0</v>
      </c>
    </row>
    <row r="174" ht="15.75" customHeight="1"/>
    <row r="175" ht="15.75" customHeight="1">
      <c r="A175" s="22" t="s">
        <v>63</v>
      </c>
    </row>
    <row r="176" ht="15.75" customHeight="1">
      <c r="A176" s="11" t="s">
        <v>200</v>
      </c>
      <c r="B176" s="11" t="s">
        <v>23</v>
      </c>
      <c r="C176" s="11" t="s">
        <v>24</v>
      </c>
      <c r="D176" s="11" t="s">
        <v>25</v>
      </c>
    </row>
    <row r="177" ht="15.75" customHeight="1"/>
    <row r="178" ht="15.75" customHeight="1">
      <c r="A178" s="11" t="s">
        <v>201</v>
      </c>
      <c r="B178" s="11">
        <v>315.040942</v>
      </c>
      <c r="C178" s="11">
        <v>32.78</v>
      </c>
      <c r="D178" s="11">
        <v>32.78</v>
      </c>
    </row>
    <row r="179" ht="15.75" customHeight="1">
      <c r="A179" s="11" t="s">
        <v>202</v>
      </c>
      <c r="B179" s="11">
        <v>645.959058</v>
      </c>
      <c r="C179" s="11">
        <v>67.22</v>
      </c>
      <c r="D179" s="11">
        <v>100.0</v>
      </c>
    </row>
    <row r="180" ht="15.75" customHeight="1"/>
    <row r="181" ht="15.75" customHeight="1">
      <c r="A181" s="11" t="s">
        <v>32</v>
      </c>
      <c r="B181" s="11">
        <v>961.0</v>
      </c>
      <c r="C181" s="11">
        <v>100.0</v>
      </c>
    </row>
    <row r="182" ht="15.75" customHeight="1"/>
    <row r="183" ht="15.75" customHeight="1">
      <c r="A183" s="22" t="s">
        <v>205</v>
      </c>
    </row>
    <row r="184" ht="15.75" customHeight="1">
      <c r="A184" s="11" t="s">
        <v>200</v>
      </c>
      <c r="B184" s="11" t="s">
        <v>23</v>
      </c>
      <c r="C184" s="11" t="s">
        <v>24</v>
      </c>
      <c r="D184" s="11" t="s">
        <v>25</v>
      </c>
    </row>
    <row r="185" ht="15.75" customHeight="1"/>
    <row r="186" ht="15.75" customHeight="1">
      <c r="A186" s="11" t="s">
        <v>201</v>
      </c>
      <c r="B186" s="11">
        <v>45.85676413</v>
      </c>
      <c r="C186" s="11">
        <v>48.27</v>
      </c>
      <c r="D186" s="11">
        <v>48.27</v>
      </c>
    </row>
    <row r="187" ht="15.75" customHeight="1">
      <c r="A187" s="11" t="s">
        <v>202</v>
      </c>
      <c r="B187" s="11">
        <v>49.14323587</v>
      </c>
      <c r="C187" s="11">
        <v>51.73</v>
      </c>
      <c r="D187" s="11">
        <v>100.0</v>
      </c>
    </row>
    <row r="188" ht="15.75" customHeight="1"/>
    <row r="189" ht="15.75" customHeight="1">
      <c r="A189" s="11" t="s">
        <v>32</v>
      </c>
      <c r="B189" s="11">
        <v>95.0</v>
      </c>
      <c r="C189" s="11">
        <v>100.0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9:R9"/>
    <mergeCell ref="A100:E100"/>
    <mergeCell ref="A101:D101"/>
    <mergeCell ref="F101:I101"/>
    <mergeCell ref="K101:N101"/>
    <mergeCell ref="P108:Y108"/>
    <mergeCell ref="A142:E142"/>
    <mergeCell ref="F147:O14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6.71"/>
    <col customWidth="1" min="3" max="6" width="8.71"/>
    <col customWidth="1" min="7" max="7" width="16.43"/>
    <col customWidth="1" min="8" max="8" width="13.43"/>
    <col customWidth="1" min="9" max="9" width="12.86"/>
    <col customWidth="1" min="10" max="26" width="8.71"/>
  </cols>
  <sheetData>
    <row r="1">
      <c r="A1" s="1" t="s">
        <v>0</v>
      </c>
      <c r="B1" s="2">
        <v>45635.0</v>
      </c>
    </row>
    <row r="2">
      <c r="A2" s="5" t="s">
        <v>207</v>
      </c>
      <c r="B2" s="6"/>
    </row>
    <row r="4">
      <c r="A4" s="22" t="s">
        <v>208</v>
      </c>
      <c r="B4" s="22" t="s">
        <v>209</v>
      </c>
      <c r="C4" s="22">
        <v>1.0</v>
      </c>
      <c r="G4" s="8" t="s">
        <v>3</v>
      </c>
      <c r="H4" s="8">
        <v>1.0</v>
      </c>
      <c r="I4" s="8">
        <v>2.0</v>
      </c>
      <c r="J4" s="8">
        <v>3.0</v>
      </c>
      <c r="K4" s="8">
        <v>4.0</v>
      </c>
      <c r="L4" s="8">
        <v>5.0</v>
      </c>
      <c r="M4" s="8">
        <v>6.0</v>
      </c>
      <c r="N4" s="8">
        <v>7.0</v>
      </c>
      <c r="O4" s="8">
        <v>8.0</v>
      </c>
      <c r="P4" s="8">
        <v>9.0</v>
      </c>
      <c r="Q4" s="8">
        <v>10.0</v>
      </c>
      <c r="R4" s="8">
        <v>11.0</v>
      </c>
    </row>
    <row r="5">
      <c r="A5" s="11" t="s">
        <v>210</v>
      </c>
      <c r="G5" s="8"/>
      <c r="H5" s="11">
        <v>2002.0</v>
      </c>
      <c r="I5" s="11">
        <v>2004.0</v>
      </c>
      <c r="J5" s="11">
        <v>2006.0</v>
      </c>
      <c r="K5" s="11">
        <v>2008.0</v>
      </c>
      <c r="L5" s="11">
        <v>2010.0</v>
      </c>
      <c r="M5" s="11">
        <v>2012.0</v>
      </c>
      <c r="N5" s="11">
        <v>2014.0</v>
      </c>
      <c r="O5" s="11">
        <v>2016.0</v>
      </c>
      <c r="P5" s="11">
        <v>2018.0</v>
      </c>
      <c r="Q5" s="11" t="s">
        <v>42</v>
      </c>
      <c r="R5" s="11">
        <v>2023.0</v>
      </c>
    </row>
    <row r="6">
      <c r="A6" s="11" t="s">
        <v>211</v>
      </c>
      <c r="G6" s="8" t="s">
        <v>212</v>
      </c>
      <c r="H6" s="27">
        <f>D12</f>
        <v>81.1</v>
      </c>
      <c r="I6" s="27">
        <f>D27</f>
        <v>86.25</v>
      </c>
      <c r="J6" s="27">
        <f>D42</f>
        <v>79.31</v>
      </c>
      <c r="K6" s="27">
        <f>D57</f>
        <v>78.89</v>
      </c>
      <c r="L6" s="27">
        <f>D72</f>
        <v>77.09</v>
      </c>
      <c r="M6" s="27">
        <f>D87</f>
        <v>76.48</v>
      </c>
      <c r="N6" s="27">
        <f>D102</f>
        <v>73.64</v>
      </c>
      <c r="O6" s="27">
        <f>D117</f>
        <v>71.96</v>
      </c>
      <c r="P6" s="27">
        <f>D132</f>
        <v>64.85</v>
      </c>
      <c r="Q6" s="27">
        <f>C146</f>
        <v>60.91</v>
      </c>
      <c r="R6" s="11">
        <f>C155</f>
        <v>68.09</v>
      </c>
    </row>
    <row r="7">
      <c r="A7" s="11" t="s">
        <v>213</v>
      </c>
    </row>
    <row r="8" ht="37.5" customHeight="1">
      <c r="A8" s="11" t="s">
        <v>214</v>
      </c>
      <c r="G8" s="18" t="s">
        <v>215</v>
      </c>
    </row>
    <row r="9">
      <c r="A9" s="11" t="s">
        <v>216</v>
      </c>
    </row>
    <row r="10">
      <c r="A10" s="11" t="s">
        <v>217</v>
      </c>
      <c r="C10" s="11" t="s">
        <v>23</v>
      </c>
      <c r="D10" s="11" t="s">
        <v>24</v>
      </c>
      <c r="E10" s="11" t="s">
        <v>25</v>
      </c>
    </row>
    <row r="12">
      <c r="A12" s="11" t="s">
        <v>212</v>
      </c>
      <c r="C12" s="23">
        <v>1652.7558</v>
      </c>
      <c r="D12" s="11">
        <v>81.1</v>
      </c>
      <c r="E12" s="11">
        <v>81.1</v>
      </c>
    </row>
    <row r="13">
      <c r="A13" s="11" t="s">
        <v>218</v>
      </c>
      <c r="C13" s="11">
        <v>385.244187</v>
      </c>
      <c r="D13" s="11">
        <v>18.9</v>
      </c>
      <c r="E13" s="11">
        <v>100.0</v>
      </c>
    </row>
    <row r="15">
      <c r="A15" s="11" t="s">
        <v>32</v>
      </c>
      <c r="C15" s="10">
        <v>2038.0</v>
      </c>
      <c r="D15" s="11">
        <v>100.0</v>
      </c>
    </row>
    <row r="18">
      <c r="A18" s="22" t="s">
        <v>208</v>
      </c>
      <c r="B18" s="22" t="s">
        <v>209</v>
      </c>
      <c r="C18" s="22">
        <v>2.0</v>
      </c>
    </row>
    <row r="20">
      <c r="A20" s="11" t="s">
        <v>210</v>
      </c>
    </row>
    <row r="21" ht="15.75" customHeight="1">
      <c r="A21" s="11" t="s">
        <v>211</v>
      </c>
    </row>
    <row r="22" ht="15.75" customHeight="1">
      <c r="A22" s="11" t="s">
        <v>213</v>
      </c>
    </row>
    <row r="23" ht="15.75" customHeight="1">
      <c r="A23" s="11" t="s">
        <v>214</v>
      </c>
    </row>
    <row r="24" ht="15.75" customHeight="1">
      <c r="A24" s="11" t="s">
        <v>216</v>
      </c>
    </row>
    <row r="25" ht="15.75" customHeight="1">
      <c r="A25" s="11" t="s">
        <v>217</v>
      </c>
      <c r="C25" s="11" t="s">
        <v>23</v>
      </c>
      <c r="D25" s="11" t="s">
        <v>24</v>
      </c>
      <c r="E25" s="11" t="s">
        <v>25</v>
      </c>
    </row>
    <row r="26" ht="15.75" customHeight="1"/>
    <row r="27" ht="15.75" customHeight="1">
      <c r="A27" s="11" t="s">
        <v>212</v>
      </c>
      <c r="C27" s="23">
        <v>1968.2536</v>
      </c>
      <c r="D27" s="11">
        <v>86.25</v>
      </c>
      <c r="E27" s="11">
        <v>86.25</v>
      </c>
    </row>
    <row r="28" ht="15.75" customHeight="1">
      <c r="A28" s="11" t="s">
        <v>218</v>
      </c>
      <c r="C28" s="11">
        <v>313.746431</v>
      </c>
      <c r="D28" s="11">
        <v>13.75</v>
      </c>
      <c r="E28" s="11">
        <v>100.0</v>
      </c>
    </row>
    <row r="29" ht="15.75" customHeight="1">
      <c r="G29" s="50"/>
      <c r="H29" s="51" t="s">
        <v>219</v>
      </c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</row>
    <row r="30" ht="15.75" customHeight="1">
      <c r="A30" s="11" t="s">
        <v>32</v>
      </c>
      <c r="C30" s="10">
        <v>2282.0</v>
      </c>
      <c r="D30" s="11">
        <v>100.0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</row>
    <row r="31" ht="15.75" customHeight="1"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</row>
    <row r="32" ht="15.75" customHeight="1">
      <c r="G32" s="52"/>
      <c r="H32" s="52"/>
      <c r="I32" s="52"/>
      <c r="J32" s="52"/>
      <c r="K32" s="53" t="s">
        <v>3</v>
      </c>
      <c r="M32" s="52"/>
      <c r="N32" s="52"/>
      <c r="O32" s="52"/>
      <c r="P32" s="52"/>
      <c r="Q32" s="52"/>
      <c r="R32" s="52"/>
      <c r="S32" s="52"/>
      <c r="T32" s="52"/>
      <c r="U32" s="52"/>
    </row>
    <row r="33" ht="15.75" customHeight="1">
      <c r="A33" s="22" t="s">
        <v>208</v>
      </c>
      <c r="B33" s="22" t="s">
        <v>209</v>
      </c>
      <c r="C33" s="22">
        <v>3.0</v>
      </c>
      <c r="G33" s="52"/>
      <c r="H33" s="52"/>
      <c r="I33" s="52"/>
      <c r="J33" s="52"/>
      <c r="K33" s="53">
        <v>1.0</v>
      </c>
      <c r="L33" s="53">
        <v>2.0</v>
      </c>
      <c r="M33" s="53">
        <v>3.0</v>
      </c>
      <c r="N33" s="53">
        <v>4.0</v>
      </c>
      <c r="O33" s="53">
        <v>5.0</v>
      </c>
      <c r="P33" s="53">
        <v>6.0</v>
      </c>
      <c r="Q33" s="53">
        <v>7.0</v>
      </c>
      <c r="R33" s="53">
        <v>8.0</v>
      </c>
      <c r="S33" s="53">
        <v>9.0</v>
      </c>
      <c r="T33" s="53">
        <v>10.0</v>
      </c>
      <c r="U33" s="53">
        <v>11.0</v>
      </c>
    </row>
    <row r="34" ht="15.75" customHeight="1">
      <c r="G34" s="52"/>
      <c r="H34" s="52"/>
      <c r="I34" s="52"/>
      <c r="J34" s="52"/>
      <c r="K34" s="53" t="s">
        <v>220</v>
      </c>
      <c r="L34" s="53" t="s">
        <v>220</v>
      </c>
      <c r="M34" s="53" t="s">
        <v>220</v>
      </c>
      <c r="N34" s="53" t="s">
        <v>220</v>
      </c>
      <c r="O34" s="53" t="s">
        <v>220</v>
      </c>
      <c r="P34" s="53" t="s">
        <v>220</v>
      </c>
      <c r="Q34" s="53" t="s">
        <v>220</v>
      </c>
      <c r="R34" s="53" t="s">
        <v>220</v>
      </c>
      <c r="S34" s="53" t="s">
        <v>220</v>
      </c>
      <c r="T34" s="53" t="s">
        <v>220</v>
      </c>
      <c r="U34" s="53" t="s">
        <v>220</v>
      </c>
    </row>
    <row r="35" ht="15.75" customHeight="1">
      <c r="A35" s="11" t="s">
        <v>210</v>
      </c>
      <c r="G35" s="53" t="s">
        <v>221</v>
      </c>
      <c r="H35" s="53" t="s">
        <v>212</v>
      </c>
      <c r="I35" s="53" t="s">
        <v>222</v>
      </c>
      <c r="J35" s="53" t="s">
        <v>212</v>
      </c>
      <c r="K35" s="53">
        <v>1547.0</v>
      </c>
      <c r="L35" s="53">
        <v>1873.0</v>
      </c>
      <c r="M35" s="53">
        <v>1260.0</v>
      </c>
      <c r="N35" s="53">
        <v>1184.0</v>
      </c>
      <c r="O35" s="53">
        <v>1695.0</v>
      </c>
      <c r="P35" s="53">
        <v>1731.0</v>
      </c>
      <c r="Q35" s="53">
        <v>1521.0</v>
      </c>
      <c r="R35" s="53">
        <v>1696.0</v>
      </c>
      <c r="S35" s="53">
        <v>1189.0</v>
      </c>
      <c r="T35" s="53">
        <v>856.0</v>
      </c>
      <c r="U35" s="53">
        <v>1117.0</v>
      </c>
    </row>
    <row r="36" ht="15.75" customHeight="1">
      <c r="A36" s="11" t="s">
        <v>211</v>
      </c>
      <c r="G36" s="52"/>
      <c r="H36" s="52"/>
      <c r="I36" s="52"/>
      <c r="J36" s="53" t="s">
        <v>218</v>
      </c>
      <c r="K36" s="53">
        <v>100.0</v>
      </c>
      <c r="L36" s="53">
        <v>91.0</v>
      </c>
      <c r="M36" s="53">
        <v>154.0</v>
      </c>
      <c r="N36" s="53">
        <v>205.0</v>
      </c>
      <c r="O36" s="53">
        <v>286.0</v>
      </c>
      <c r="P36" s="53">
        <v>268.0</v>
      </c>
      <c r="Q36" s="53">
        <v>216.0</v>
      </c>
      <c r="R36" s="53">
        <v>278.0</v>
      </c>
      <c r="S36" s="53">
        <v>235.0</v>
      </c>
      <c r="T36" s="53">
        <v>216.0</v>
      </c>
      <c r="U36" s="53">
        <v>246.0</v>
      </c>
    </row>
    <row r="37" ht="15.75" customHeight="1">
      <c r="A37" s="11" t="s">
        <v>213</v>
      </c>
      <c r="G37" s="52"/>
      <c r="H37" s="53" t="s">
        <v>218</v>
      </c>
      <c r="I37" s="53" t="s">
        <v>222</v>
      </c>
      <c r="J37" s="53" t="s">
        <v>212</v>
      </c>
      <c r="K37" s="53">
        <v>336.0</v>
      </c>
      <c r="L37" s="53">
        <v>271.0</v>
      </c>
      <c r="M37" s="53">
        <v>285.0</v>
      </c>
      <c r="N37" s="53">
        <v>266.0</v>
      </c>
      <c r="O37" s="53">
        <v>456.0</v>
      </c>
      <c r="P37" s="53">
        <v>490.0</v>
      </c>
      <c r="Q37" s="53">
        <v>521.0</v>
      </c>
      <c r="R37" s="53">
        <v>578.0</v>
      </c>
      <c r="S37" s="53">
        <v>568.0</v>
      </c>
      <c r="T37" s="53">
        <v>513.0</v>
      </c>
      <c r="U37" s="53">
        <v>494.0</v>
      </c>
    </row>
    <row r="38" ht="15.75" customHeight="1">
      <c r="A38" s="11" t="s">
        <v>214</v>
      </c>
      <c r="G38" s="52"/>
      <c r="H38" s="52"/>
      <c r="I38" s="52"/>
      <c r="J38" s="53" t="s">
        <v>218</v>
      </c>
      <c r="K38" s="53">
        <v>48.0</v>
      </c>
      <c r="L38" s="53">
        <v>43.0</v>
      </c>
      <c r="M38" s="53">
        <v>82.0</v>
      </c>
      <c r="N38" s="53">
        <v>105.0</v>
      </c>
      <c r="O38" s="53">
        <v>132.0</v>
      </c>
      <c r="P38" s="53">
        <v>125.0</v>
      </c>
      <c r="Q38" s="53">
        <v>102.0</v>
      </c>
      <c r="R38" s="53">
        <v>191.0</v>
      </c>
      <c r="S38" s="53">
        <v>202.0</v>
      </c>
      <c r="T38" s="53">
        <v>175.0</v>
      </c>
      <c r="U38" s="53">
        <v>143.0</v>
      </c>
    </row>
    <row r="39" ht="15.75" customHeight="1">
      <c r="A39" s="11" t="s">
        <v>216</v>
      </c>
      <c r="G39" s="52"/>
      <c r="H39" s="53" t="s">
        <v>32</v>
      </c>
      <c r="I39" s="53" t="s">
        <v>222</v>
      </c>
      <c r="J39" s="53" t="s">
        <v>212</v>
      </c>
      <c r="K39" s="53">
        <v>1884.0</v>
      </c>
      <c r="L39" s="53">
        <v>2144.0</v>
      </c>
      <c r="M39" s="53">
        <v>1545.0</v>
      </c>
      <c r="N39" s="53">
        <v>1450.0</v>
      </c>
      <c r="O39" s="53">
        <v>2152.0</v>
      </c>
      <c r="P39" s="53">
        <v>2220.0</v>
      </c>
      <c r="Q39" s="53">
        <v>2041.0</v>
      </c>
      <c r="R39" s="53">
        <v>2275.0</v>
      </c>
      <c r="S39" s="53">
        <v>1756.0</v>
      </c>
      <c r="T39" s="53">
        <v>1369.0</v>
      </c>
      <c r="U39" s="53">
        <v>1611.0</v>
      </c>
    </row>
    <row r="40" ht="15.75" customHeight="1">
      <c r="A40" s="11" t="s">
        <v>217</v>
      </c>
      <c r="C40" s="11" t="s">
        <v>23</v>
      </c>
      <c r="D40" s="11" t="s">
        <v>24</v>
      </c>
      <c r="E40" s="11" t="s">
        <v>25</v>
      </c>
      <c r="G40" s="52"/>
      <c r="H40" s="52"/>
      <c r="I40" s="52"/>
      <c r="J40" s="53" t="s">
        <v>218</v>
      </c>
      <c r="K40" s="53">
        <v>149.0</v>
      </c>
      <c r="L40" s="53">
        <v>134.0</v>
      </c>
      <c r="M40" s="53">
        <v>236.0</v>
      </c>
      <c r="N40" s="53">
        <v>310.0</v>
      </c>
      <c r="O40" s="53">
        <v>419.0</v>
      </c>
      <c r="P40" s="53">
        <v>393.0</v>
      </c>
      <c r="Q40" s="53">
        <v>318.0</v>
      </c>
      <c r="R40" s="53">
        <v>469.0</v>
      </c>
      <c r="S40" s="53">
        <v>436.0</v>
      </c>
      <c r="T40" s="53">
        <v>391.0</v>
      </c>
      <c r="U40" s="53">
        <v>388.0</v>
      </c>
    </row>
    <row r="41" ht="15.75" customHeight="1">
      <c r="G41" s="52"/>
      <c r="H41" s="52"/>
      <c r="I41" s="52"/>
      <c r="J41" s="52"/>
      <c r="K41" s="53">
        <v>2033.0</v>
      </c>
      <c r="L41" s="53">
        <v>2278.0</v>
      </c>
      <c r="M41" s="53">
        <v>1781.0</v>
      </c>
      <c r="N41" s="53">
        <v>1760.0</v>
      </c>
      <c r="O41" s="53">
        <v>2571.0</v>
      </c>
      <c r="P41" s="53">
        <v>2613.0</v>
      </c>
      <c r="Q41" s="53">
        <v>2359.0</v>
      </c>
      <c r="R41" s="53">
        <v>2744.0</v>
      </c>
      <c r="S41" s="53">
        <v>2192.0</v>
      </c>
      <c r="T41" s="53">
        <v>1760.0</v>
      </c>
      <c r="U41" s="53">
        <v>1999.0</v>
      </c>
    </row>
    <row r="42" ht="15.75" customHeight="1">
      <c r="A42" s="11" t="s">
        <v>212</v>
      </c>
      <c r="C42" s="23">
        <v>1405.2965</v>
      </c>
      <c r="D42" s="11">
        <v>79.31</v>
      </c>
      <c r="E42" s="11">
        <v>79.31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</row>
    <row r="43" ht="15.75" customHeight="1">
      <c r="A43" s="11" t="s">
        <v>218</v>
      </c>
      <c r="C43" s="11">
        <v>366.703515</v>
      </c>
      <c r="D43" s="11">
        <v>20.69</v>
      </c>
      <c r="E43" s="11">
        <v>100.0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</row>
    <row r="44" ht="15.75" customHeight="1">
      <c r="G44" s="52"/>
      <c r="H44" s="52"/>
      <c r="I44" s="54" t="s">
        <v>222</v>
      </c>
      <c r="K44" s="55">
        <v>0.82</v>
      </c>
      <c r="L44" s="55">
        <v>0.87</v>
      </c>
      <c r="M44" s="55">
        <v>0.82</v>
      </c>
      <c r="N44" s="55">
        <v>0.82</v>
      </c>
      <c r="O44" s="55">
        <v>0.79</v>
      </c>
      <c r="P44" s="55">
        <v>0.78</v>
      </c>
      <c r="Q44" s="55">
        <v>0.75</v>
      </c>
      <c r="R44" s="55">
        <v>0.75</v>
      </c>
      <c r="S44" s="55">
        <v>0.68</v>
      </c>
      <c r="T44" s="55">
        <v>0.63</v>
      </c>
      <c r="U44" s="55">
        <v>0.69</v>
      </c>
    </row>
    <row r="45" ht="15.75" customHeight="1">
      <c r="A45" s="11" t="s">
        <v>32</v>
      </c>
      <c r="C45" s="10">
        <v>1772.0</v>
      </c>
      <c r="D45" s="11">
        <v>100.0</v>
      </c>
      <c r="G45" s="52"/>
      <c r="H45" s="52"/>
      <c r="I45" s="54" t="s">
        <v>223</v>
      </c>
      <c r="K45" s="55">
        <v>0.67</v>
      </c>
      <c r="L45" s="55">
        <v>0.68</v>
      </c>
      <c r="M45" s="55">
        <v>0.65</v>
      </c>
      <c r="N45" s="55">
        <v>0.66</v>
      </c>
      <c r="O45" s="55">
        <v>0.68</v>
      </c>
      <c r="P45" s="55">
        <v>0.68</v>
      </c>
      <c r="Q45" s="55">
        <v>0.68</v>
      </c>
      <c r="R45" s="55">
        <v>0.59</v>
      </c>
      <c r="S45" s="55">
        <v>0.54</v>
      </c>
      <c r="T45" s="55">
        <v>0.55</v>
      </c>
      <c r="U45" s="55">
        <v>0.63</v>
      </c>
    </row>
    <row r="46" ht="15.75" customHeight="1">
      <c r="G46" s="52"/>
      <c r="H46" s="52"/>
      <c r="I46" s="50"/>
      <c r="J46" s="50"/>
      <c r="K46" s="53">
        <v>2002.0</v>
      </c>
      <c r="L46" s="53">
        <v>2004.0</v>
      </c>
      <c r="M46" s="53">
        <v>2006.0</v>
      </c>
      <c r="N46" s="53">
        <v>2008.0</v>
      </c>
      <c r="O46" s="53">
        <v>2010.0</v>
      </c>
      <c r="P46" s="53">
        <v>2012.0</v>
      </c>
      <c r="Q46" s="53">
        <v>2014.0</v>
      </c>
      <c r="R46" s="53">
        <v>2016.0</v>
      </c>
      <c r="S46" s="53">
        <v>2018.0</v>
      </c>
      <c r="T46" s="53" t="s">
        <v>42</v>
      </c>
      <c r="U46" s="53">
        <v>2023.0</v>
      </c>
    </row>
    <row r="47" ht="15.75" customHeight="1">
      <c r="G47" s="52"/>
      <c r="H47" s="52"/>
      <c r="I47" s="50"/>
      <c r="J47" s="50"/>
      <c r="K47" s="53">
        <v>1.0</v>
      </c>
      <c r="L47" s="53">
        <v>2.0</v>
      </c>
      <c r="M47" s="53">
        <v>3.0</v>
      </c>
      <c r="N47" s="53">
        <v>4.0</v>
      </c>
      <c r="O47" s="53">
        <v>5.0</v>
      </c>
      <c r="P47" s="53">
        <v>6.0</v>
      </c>
      <c r="Q47" s="53">
        <v>7.0</v>
      </c>
      <c r="R47" s="53">
        <v>8.0</v>
      </c>
      <c r="S47" s="53">
        <v>9.0</v>
      </c>
      <c r="T47" s="53">
        <v>10.0</v>
      </c>
      <c r="U47" s="53">
        <v>11.0</v>
      </c>
    </row>
    <row r="48" ht="15.75" customHeight="1">
      <c r="A48" s="22" t="s">
        <v>208</v>
      </c>
      <c r="B48" s="22" t="s">
        <v>209</v>
      </c>
      <c r="C48" s="22">
        <v>4.0</v>
      </c>
      <c r="G48" s="52"/>
      <c r="H48" s="52"/>
      <c r="I48" s="52"/>
      <c r="J48" s="52"/>
      <c r="K48" s="53" t="s">
        <v>220</v>
      </c>
      <c r="L48" s="53" t="s">
        <v>220</v>
      </c>
      <c r="M48" s="53" t="s">
        <v>220</v>
      </c>
      <c r="N48" s="53" t="s">
        <v>220</v>
      </c>
      <c r="O48" s="53" t="s">
        <v>220</v>
      </c>
      <c r="P48" s="53" t="s">
        <v>220</v>
      </c>
      <c r="Q48" s="53" t="s">
        <v>220</v>
      </c>
      <c r="R48" s="53" t="s">
        <v>220</v>
      </c>
      <c r="S48" s="53" t="s">
        <v>220</v>
      </c>
      <c r="T48" s="53" t="s">
        <v>220</v>
      </c>
      <c r="U48" s="53" t="s">
        <v>220</v>
      </c>
    </row>
    <row r="49" ht="15.75" customHeight="1">
      <c r="G49" s="52"/>
      <c r="H49" s="52"/>
      <c r="I49" s="50"/>
      <c r="J49" s="53" t="s">
        <v>32</v>
      </c>
      <c r="K49" s="56">
        <v>0.81</v>
      </c>
      <c r="L49" s="56">
        <v>0.86</v>
      </c>
      <c r="M49" s="56">
        <v>0.79</v>
      </c>
      <c r="N49" s="56">
        <v>0.79</v>
      </c>
      <c r="O49" s="56">
        <v>0.77</v>
      </c>
      <c r="P49" s="56">
        <v>0.77</v>
      </c>
      <c r="Q49" s="56">
        <v>0.74</v>
      </c>
      <c r="R49" s="56">
        <v>0.72</v>
      </c>
      <c r="S49" s="56">
        <v>0.65</v>
      </c>
      <c r="T49" s="56">
        <v>0.61</v>
      </c>
      <c r="U49" s="56">
        <v>0.68</v>
      </c>
    </row>
    <row r="50" ht="15.75" customHeight="1">
      <c r="A50" s="11" t="s">
        <v>210</v>
      </c>
    </row>
    <row r="51" ht="15.75" customHeight="1">
      <c r="A51" s="11" t="s">
        <v>211</v>
      </c>
    </row>
    <row r="52" ht="15.75" customHeight="1">
      <c r="A52" s="11" t="s">
        <v>213</v>
      </c>
    </row>
    <row r="53" ht="15.75" customHeight="1">
      <c r="A53" s="11" t="s">
        <v>214</v>
      </c>
    </row>
    <row r="54" ht="15.75" customHeight="1">
      <c r="A54" s="11" t="s">
        <v>216</v>
      </c>
    </row>
    <row r="55" ht="15.75" customHeight="1">
      <c r="A55" s="11" t="s">
        <v>217</v>
      </c>
      <c r="C55" s="11" t="s">
        <v>23</v>
      </c>
      <c r="D55" s="11" t="s">
        <v>24</v>
      </c>
      <c r="E55" s="11" t="s">
        <v>25</v>
      </c>
    </row>
    <row r="56" ht="15.75" customHeight="1"/>
    <row r="57" ht="15.75" customHeight="1">
      <c r="A57" s="11" t="s">
        <v>212</v>
      </c>
      <c r="C57" s="23">
        <v>1388.5359</v>
      </c>
      <c r="D57" s="11">
        <v>78.89</v>
      </c>
      <c r="E57" s="11">
        <v>78.89</v>
      </c>
    </row>
    <row r="58" ht="15.75" customHeight="1">
      <c r="A58" s="11" t="s">
        <v>218</v>
      </c>
      <c r="C58" s="11">
        <v>371.464132</v>
      </c>
      <c r="D58" s="11">
        <v>21.11</v>
      </c>
      <c r="E58" s="11">
        <v>100.0</v>
      </c>
    </row>
    <row r="59" ht="15.75" customHeight="1"/>
    <row r="60" ht="15.75" customHeight="1">
      <c r="A60" s="11" t="s">
        <v>32</v>
      </c>
      <c r="C60" s="10">
        <v>1760.0</v>
      </c>
      <c r="D60" s="11">
        <v>100.0</v>
      </c>
    </row>
    <row r="61" ht="15.75" customHeight="1"/>
    <row r="62" ht="15.75" customHeight="1"/>
    <row r="63" ht="15.75" customHeight="1">
      <c r="A63" s="22" t="s">
        <v>208</v>
      </c>
      <c r="B63" s="22" t="s">
        <v>209</v>
      </c>
      <c r="C63" s="22">
        <v>5.0</v>
      </c>
    </row>
    <row r="64" ht="15.75" customHeight="1"/>
    <row r="65" ht="15.75" customHeight="1">
      <c r="A65" s="11" t="s">
        <v>210</v>
      </c>
    </row>
    <row r="66" ht="15.75" customHeight="1">
      <c r="A66" s="11" t="s">
        <v>211</v>
      </c>
    </row>
    <row r="67" ht="15.75" customHeight="1">
      <c r="A67" s="11" t="s">
        <v>213</v>
      </c>
    </row>
    <row r="68" ht="15.75" customHeight="1">
      <c r="A68" s="11" t="s">
        <v>214</v>
      </c>
    </row>
    <row r="69" ht="15.75" customHeight="1">
      <c r="A69" s="11" t="s">
        <v>216</v>
      </c>
    </row>
    <row r="70" ht="15.75" customHeight="1">
      <c r="A70" s="11" t="s">
        <v>217</v>
      </c>
      <c r="C70" s="11" t="s">
        <v>23</v>
      </c>
      <c r="D70" s="11" t="s">
        <v>24</v>
      </c>
      <c r="E70" s="11" t="s">
        <v>25</v>
      </c>
    </row>
    <row r="71" ht="15.75" customHeight="1"/>
    <row r="72" ht="15.75" customHeight="1">
      <c r="A72" s="11" t="s">
        <v>212</v>
      </c>
      <c r="C72" s="23">
        <v>1982.8348</v>
      </c>
      <c r="D72" s="11">
        <v>77.09</v>
      </c>
      <c r="E72" s="11">
        <v>77.09</v>
      </c>
    </row>
    <row r="73" ht="15.75" customHeight="1">
      <c r="A73" s="11" t="s">
        <v>218</v>
      </c>
      <c r="C73" s="11">
        <v>589.165226</v>
      </c>
      <c r="D73" s="11">
        <v>22.91</v>
      </c>
      <c r="E73" s="11">
        <v>100.0</v>
      </c>
    </row>
    <row r="74" ht="15.75" customHeight="1"/>
    <row r="75" ht="15.75" customHeight="1">
      <c r="A75" s="11" t="s">
        <v>32</v>
      </c>
      <c r="C75" s="10">
        <v>2572.0</v>
      </c>
      <c r="D75" s="11">
        <v>100.0</v>
      </c>
    </row>
    <row r="76" ht="15.75" customHeight="1"/>
    <row r="77" ht="15.75" customHeight="1"/>
    <row r="78" ht="15.75" customHeight="1">
      <c r="A78" s="22" t="s">
        <v>208</v>
      </c>
      <c r="B78" s="22" t="s">
        <v>209</v>
      </c>
      <c r="C78" s="22">
        <v>6.0</v>
      </c>
    </row>
    <row r="79" ht="15.75" customHeight="1"/>
    <row r="80" ht="15.75" customHeight="1">
      <c r="A80" s="11" t="s">
        <v>210</v>
      </c>
    </row>
    <row r="81" ht="15.75" customHeight="1">
      <c r="A81" s="11" t="s">
        <v>211</v>
      </c>
    </row>
    <row r="82" ht="15.75" customHeight="1">
      <c r="A82" s="11" t="s">
        <v>213</v>
      </c>
    </row>
    <row r="83" ht="15.75" customHeight="1">
      <c r="A83" s="11" t="s">
        <v>214</v>
      </c>
    </row>
    <row r="84" ht="15.75" customHeight="1">
      <c r="A84" s="11" t="s">
        <v>216</v>
      </c>
    </row>
    <row r="85" ht="15.75" customHeight="1">
      <c r="A85" s="11" t="s">
        <v>217</v>
      </c>
      <c r="C85" s="11" t="s">
        <v>23</v>
      </c>
      <c r="D85" s="11" t="s">
        <v>24</v>
      </c>
      <c r="E85" s="11" t="s">
        <v>25</v>
      </c>
    </row>
    <row r="86" ht="15.75" customHeight="1"/>
    <row r="87" ht="15.75" customHeight="1">
      <c r="A87" s="11" t="s">
        <v>212</v>
      </c>
      <c r="C87" s="23">
        <v>2000.6193</v>
      </c>
      <c r="D87" s="11">
        <v>76.48</v>
      </c>
      <c r="E87" s="11">
        <v>76.48</v>
      </c>
    </row>
    <row r="88" ht="15.75" customHeight="1">
      <c r="A88" s="11" t="s">
        <v>218</v>
      </c>
      <c r="C88" s="11">
        <v>615.380713</v>
      </c>
      <c r="D88" s="11">
        <v>23.52</v>
      </c>
      <c r="E88" s="11">
        <v>100.0</v>
      </c>
    </row>
    <row r="89" ht="15.75" customHeight="1"/>
    <row r="90" ht="15.75" customHeight="1">
      <c r="A90" s="11" t="s">
        <v>32</v>
      </c>
      <c r="C90" s="10">
        <v>2616.0</v>
      </c>
      <c r="D90" s="11">
        <v>100.0</v>
      </c>
    </row>
    <row r="91" ht="15.75" customHeight="1"/>
    <row r="92" ht="15.75" customHeight="1"/>
    <row r="93" ht="15.75" customHeight="1">
      <c r="A93" s="22" t="s">
        <v>208</v>
      </c>
      <c r="B93" s="22" t="s">
        <v>209</v>
      </c>
      <c r="C93" s="22">
        <v>7.0</v>
      </c>
    </row>
    <row r="94" ht="15.75" customHeight="1"/>
    <row r="95" ht="15.75" customHeight="1">
      <c r="A95" s="11" t="s">
        <v>210</v>
      </c>
    </row>
    <row r="96" ht="15.75" customHeight="1">
      <c r="A96" s="11" t="s">
        <v>211</v>
      </c>
    </row>
    <row r="97" ht="15.75" customHeight="1">
      <c r="A97" s="11" t="s">
        <v>213</v>
      </c>
    </row>
    <row r="98" ht="15.75" customHeight="1">
      <c r="A98" s="11" t="s">
        <v>214</v>
      </c>
    </row>
    <row r="99" ht="15.75" customHeight="1">
      <c r="A99" s="11" t="s">
        <v>216</v>
      </c>
    </row>
    <row r="100" ht="15.75" customHeight="1">
      <c r="A100" s="11" t="s">
        <v>217</v>
      </c>
      <c r="C100" s="11" t="s">
        <v>23</v>
      </c>
      <c r="D100" s="11" t="s">
        <v>24</v>
      </c>
      <c r="E100" s="11" t="s">
        <v>25</v>
      </c>
    </row>
    <row r="101" ht="15.75" customHeight="1"/>
    <row r="102" ht="15.75" customHeight="1">
      <c r="A102" s="11" t="s">
        <v>212</v>
      </c>
      <c r="C102" s="23">
        <v>1744.5522</v>
      </c>
      <c r="D102" s="11">
        <v>73.64</v>
      </c>
      <c r="E102" s="11">
        <v>73.64</v>
      </c>
    </row>
    <row r="103" ht="15.75" customHeight="1">
      <c r="A103" s="11" t="s">
        <v>218</v>
      </c>
      <c r="C103" s="11">
        <v>624.447805</v>
      </c>
      <c r="D103" s="11">
        <v>26.36</v>
      </c>
      <c r="E103" s="11">
        <v>100.0</v>
      </c>
    </row>
    <row r="104" ht="15.75" customHeight="1"/>
    <row r="105" ht="15.75" customHeight="1">
      <c r="A105" s="11" t="s">
        <v>32</v>
      </c>
      <c r="C105" s="10">
        <v>2369.0</v>
      </c>
      <c r="D105" s="11">
        <v>100.0</v>
      </c>
    </row>
    <row r="106" ht="15.75" customHeight="1"/>
    <row r="107" ht="15.75" customHeight="1"/>
    <row r="108" ht="15.75" customHeight="1">
      <c r="A108" s="22" t="s">
        <v>208</v>
      </c>
      <c r="B108" s="22" t="s">
        <v>209</v>
      </c>
      <c r="C108" s="22">
        <v>8.0</v>
      </c>
    </row>
    <row r="109" ht="15.75" customHeight="1"/>
    <row r="110" ht="15.75" customHeight="1">
      <c r="A110" s="11" t="s">
        <v>210</v>
      </c>
    </row>
    <row r="111" ht="15.75" customHeight="1">
      <c r="A111" s="11" t="s">
        <v>211</v>
      </c>
    </row>
    <row r="112" ht="15.75" customHeight="1">
      <c r="A112" s="11" t="s">
        <v>213</v>
      </c>
    </row>
    <row r="113" ht="15.75" customHeight="1">
      <c r="A113" s="11" t="s">
        <v>214</v>
      </c>
    </row>
    <row r="114" ht="15.75" customHeight="1">
      <c r="A114" s="11" t="s">
        <v>216</v>
      </c>
    </row>
    <row r="115" ht="15.75" customHeight="1">
      <c r="A115" s="11" t="s">
        <v>217</v>
      </c>
      <c r="C115" s="11" t="s">
        <v>23</v>
      </c>
      <c r="D115" s="11" t="s">
        <v>24</v>
      </c>
      <c r="E115" s="11" t="s">
        <v>25</v>
      </c>
    </row>
    <row r="116" ht="15.75" customHeight="1"/>
    <row r="117" ht="15.75" customHeight="1">
      <c r="A117" s="11" t="s">
        <v>212</v>
      </c>
      <c r="C117" s="23">
        <v>1977.5123</v>
      </c>
      <c r="D117" s="11">
        <v>71.96</v>
      </c>
      <c r="E117" s="11">
        <v>71.96</v>
      </c>
    </row>
    <row r="118" ht="15.75" customHeight="1">
      <c r="A118" s="11" t="s">
        <v>218</v>
      </c>
      <c r="C118" s="11">
        <v>770.487744</v>
      </c>
      <c r="D118" s="11">
        <v>28.04</v>
      </c>
      <c r="E118" s="11">
        <v>100.0</v>
      </c>
    </row>
    <row r="119" ht="15.75" customHeight="1"/>
    <row r="120" ht="15.75" customHeight="1">
      <c r="A120" s="11" t="s">
        <v>32</v>
      </c>
      <c r="C120" s="10">
        <v>2748.0</v>
      </c>
      <c r="D120" s="11">
        <v>100.0</v>
      </c>
    </row>
    <row r="121" ht="15.75" customHeight="1"/>
    <row r="122" ht="15.75" customHeight="1"/>
    <row r="123" ht="15.75" customHeight="1">
      <c r="A123" s="22" t="s">
        <v>208</v>
      </c>
      <c r="B123" s="22" t="s">
        <v>209</v>
      </c>
      <c r="C123" s="22">
        <v>9.0</v>
      </c>
    </row>
    <row r="124" ht="15.75" customHeight="1"/>
    <row r="125" ht="15.75" customHeight="1">
      <c r="A125" s="11" t="s">
        <v>210</v>
      </c>
    </row>
    <row r="126" ht="15.75" customHeight="1">
      <c r="A126" s="11" t="s">
        <v>211</v>
      </c>
    </row>
    <row r="127" ht="15.75" customHeight="1">
      <c r="A127" s="11" t="s">
        <v>213</v>
      </c>
    </row>
    <row r="128" ht="15.75" customHeight="1">
      <c r="A128" s="11" t="s">
        <v>214</v>
      </c>
    </row>
    <row r="129" ht="15.75" customHeight="1">
      <c r="A129" s="11" t="s">
        <v>216</v>
      </c>
    </row>
    <row r="130" ht="15.75" customHeight="1">
      <c r="A130" s="11" t="s">
        <v>217</v>
      </c>
      <c r="C130" s="11" t="s">
        <v>23</v>
      </c>
      <c r="D130" s="11" t="s">
        <v>24</v>
      </c>
      <c r="E130" s="11" t="s">
        <v>25</v>
      </c>
    </row>
    <row r="131" ht="15.75" customHeight="1"/>
    <row r="132" ht="15.75" customHeight="1">
      <c r="A132" s="11" t="s">
        <v>212</v>
      </c>
      <c r="C132" s="23">
        <v>1429.2417</v>
      </c>
      <c r="D132" s="11">
        <v>64.85</v>
      </c>
      <c r="E132" s="11">
        <v>64.85</v>
      </c>
    </row>
    <row r="133" ht="15.75" customHeight="1">
      <c r="A133" s="11" t="s">
        <v>218</v>
      </c>
      <c r="C133" s="11">
        <v>774.758345</v>
      </c>
      <c r="D133" s="11">
        <v>35.15</v>
      </c>
      <c r="E133" s="11">
        <v>100.0</v>
      </c>
    </row>
    <row r="134" ht="15.75" customHeight="1"/>
    <row r="135" ht="15.75" customHeight="1">
      <c r="A135" s="11" t="s">
        <v>32</v>
      </c>
      <c r="C135" s="10">
        <v>2204.0</v>
      </c>
      <c r="D135" s="11">
        <v>100.0</v>
      </c>
    </row>
    <row r="136" ht="15.75" customHeight="1"/>
    <row r="137" ht="15.75" customHeight="1"/>
    <row r="138" ht="15.75" customHeight="1">
      <c r="A138" s="22" t="s">
        <v>208</v>
      </c>
      <c r="B138" s="22" t="s">
        <v>209</v>
      </c>
      <c r="C138" s="22">
        <v>10.0</v>
      </c>
    </row>
    <row r="139" ht="15.75" customHeight="1">
      <c r="A139" s="11" t="s">
        <v>210</v>
      </c>
    </row>
    <row r="140" ht="15.75" customHeight="1">
      <c r="A140" s="11" t="s">
        <v>211</v>
      </c>
    </row>
    <row r="141" ht="15.75" customHeight="1">
      <c r="A141" s="11" t="s">
        <v>213</v>
      </c>
    </row>
    <row r="142" ht="15.75" customHeight="1">
      <c r="A142" s="11" t="s">
        <v>214</v>
      </c>
    </row>
    <row r="143" ht="15.75" customHeight="1">
      <c r="A143" s="11" t="s">
        <v>216</v>
      </c>
    </row>
    <row r="144" ht="15.75" customHeight="1">
      <c r="A144" s="11" t="s">
        <v>217</v>
      </c>
      <c r="B144" s="11" t="s">
        <v>23</v>
      </c>
      <c r="C144" s="11" t="s">
        <v>24</v>
      </c>
      <c r="D144" s="11" t="s">
        <v>25</v>
      </c>
    </row>
    <row r="145" ht="15.75" customHeight="1"/>
    <row r="146" ht="15.75" customHeight="1">
      <c r="A146" s="11" t="s">
        <v>212</v>
      </c>
      <c r="B146" s="23">
        <v>1070.1532</v>
      </c>
      <c r="C146" s="11">
        <v>60.91</v>
      </c>
      <c r="D146" s="11">
        <v>60.91</v>
      </c>
    </row>
    <row r="147" ht="15.75" customHeight="1">
      <c r="A147" s="11" t="s">
        <v>218</v>
      </c>
      <c r="B147" s="11">
        <v>686.846791</v>
      </c>
      <c r="C147" s="11">
        <v>39.09</v>
      </c>
      <c r="D147" s="11">
        <v>100.0</v>
      </c>
    </row>
    <row r="148" ht="15.75" customHeight="1"/>
    <row r="149" ht="15.75" customHeight="1">
      <c r="A149" s="11" t="s">
        <v>32</v>
      </c>
      <c r="B149" s="10">
        <v>1757.0</v>
      </c>
      <c r="C149" s="11">
        <v>100.0</v>
      </c>
    </row>
    <row r="150" ht="15.75" customHeight="1">
      <c r="B150" s="10"/>
    </row>
    <row r="151" ht="15.75" customHeight="1">
      <c r="A151" s="22" t="s">
        <v>208</v>
      </c>
      <c r="B151" s="22" t="s">
        <v>209</v>
      </c>
      <c r="C151" s="22">
        <v>11.0</v>
      </c>
    </row>
    <row r="152" ht="15.75" customHeight="1">
      <c r="B152" s="10"/>
    </row>
    <row r="153" ht="15.75" customHeight="1">
      <c r="A153" s="8" t="s">
        <v>217</v>
      </c>
      <c r="B153" s="10" t="s">
        <v>23</v>
      </c>
      <c r="C153" s="11" t="s">
        <v>24</v>
      </c>
      <c r="D153" s="11" t="s">
        <v>25</v>
      </c>
    </row>
    <row r="154" ht="15.75" customHeight="1">
      <c r="B154" s="10"/>
    </row>
    <row r="155" ht="15.75" customHeight="1">
      <c r="A155" s="11" t="s">
        <v>212</v>
      </c>
      <c r="B155" s="10">
        <v>1364.57735</v>
      </c>
      <c r="C155" s="11">
        <v>68.09</v>
      </c>
      <c r="D155" s="11">
        <v>68.09</v>
      </c>
    </row>
    <row r="156" ht="15.75" customHeight="1">
      <c r="A156" s="11" t="s">
        <v>218</v>
      </c>
      <c r="B156" s="10">
        <v>639.422647</v>
      </c>
      <c r="C156" s="11">
        <v>31.91</v>
      </c>
      <c r="D156" s="11">
        <v>100.0</v>
      </c>
    </row>
    <row r="157" ht="15.75" customHeight="1">
      <c r="B157" s="10"/>
    </row>
    <row r="158" ht="15.75" customHeight="1">
      <c r="A158" s="11" t="s">
        <v>32</v>
      </c>
      <c r="B158" s="10">
        <v>2004.0</v>
      </c>
      <c r="C158" s="11">
        <v>100.0</v>
      </c>
    </row>
    <row r="159" ht="15.75" customHeight="1">
      <c r="B159" s="10"/>
    </row>
    <row r="160" ht="15.75" customHeight="1">
      <c r="B160" s="10"/>
    </row>
    <row r="161" ht="15.75" customHeight="1"/>
    <row r="162" ht="39.0" customHeight="1">
      <c r="A162" s="57" t="s">
        <v>7</v>
      </c>
      <c r="B162" s="15"/>
      <c r="C162" s="15"/>
      <c r="D162" s="15"/>
      <c r="E162" s="16"/>
      <c r="G162" s="18" t="s">
        <v>224</v>
      </c>
    </row>
    <row r="163" ht="15.75" customHeight="1"/>
    <row r="164" ht="15.75" customHeight="1">
      <c r="G164" s="58"/>
      <c r="H164" s="39" t="s">
        <v>225</v>
      </c>
      <c r="I164" s="40" t="s">
        <v>226</v>
      </c>
    </row>
    <row r="165" ht="15.75" customHeight="1">
      <c r="G165" s="59" t="s">
        <v>159</v>
      </c>
      <c r="I165" s="43"/>
    </row>
    <row r="166" ht="15.75" customHeight="1">
      <c r="G166" s="59" t="s">
        <v>227</v>
      </c>
      <c r="H166" s="42"/>
      <c r="I166" s="43"/>
    </row>
    <row r="167" ht="15.75" customHeight="1">
      <c r="G167" s="41" t="s">
        <v>228</v>
      </c>
      <c r="H167" s="42">
        <v>64.37</v>
      </c>
      <c r="I167" s="43">
        <f t="shared" ref="I167:I168" si="1">100-H167</f>
        <v>35.63</v>
      </c>
    </row>
    <row r="168" ht="15.75" customHeight="1">
      <c r="G168" s="41" t="s">
        <v>229</v>
      </c>
      <c r="H168" s="42">
        <v>71.67</v>
      </c>
      <c r="I168" s="43">
        <f t="shared" si="1"/>
        <v>28.33</v>
      </c>
    </row>
    <row r="169" ht="15.75" customHeight="1">
      <c r="G169" s="59" t="s">
        <v>230</v>
      </c>
      <c r="H169" s="42"/>
      <c r="I169" s="43"/>
    </row>
    <row r="170" ht="15.75" customHeight="1">
      <c r="G170" s="60" t="s">
        <v>75</v>
      </c>
      <c r="H170" s="42">
        <v>55.78</v>
      </c>
      <c r="I170" s="43">
        <f t="shared" ref="I170:I176" si="2">100-H170</f>
        <v>44.22</v>
      </c>
    </row>
    <row r="171" ht="15.75" customHeight="1">
      <c r="G171" s="60" t="s">
        <v>76</v>
      </c>
      <c r="H171" s="42">
        <v>66.17</v>
      </c>
      <c r="I171" s="43">
        <f t="shared" si="2"/>
        <v>33.83</v>
      </c>
    </row>
    <row r="172" ht="15.75" customHeight="1">
      <c r="G172" s="60" t="s">
        <v>77</v>
      </c>
      <c r="H172" s="42">
        <v>63.36</v>
      </c>
      <c r="I172" s="43">
        <f t="shared" si="2"/>
        <v>36.64</v>
      </c>
    </row>
    <row r="173" ht="15.75" customHeight="1">
      <c r="G173" s="60" t="s">
        <v>166</v>
      </c>
      <c r="H173" s="42">
        <v>69.6</v>
      </c>
      <c r="I173" s="43">
        <f t="shared" si="2"/>
        <v>30.4</v>
      </c>
    </row>
    <row r="174" ht="15.75" customHeight="1">
      <c r="G174" s="60" t="s">
        <v>79</v>
      </c>
      <c r="H174" s="42">
        <v>71.76</v>
      </c>
      <c r="I174" s="43">
        <f t="shared" si="2"/>
        <v>28.24</v>
      </c>
    </row>
    <row r="175" ht="15.75" customHeight="1">
      <c r="G175" s="60" t="s">
        <v>167</v>
      </c>
      <c r="H175" s="42">
        <v>82.67</v>
      </c>
      <c r="I175" s="43">
        <f t="shared" si="2"/>
        <v>17.33</v>
      </c>
    </row>
    <row r="176" ht="15.75" customHeight="1">
      <c r="G176" s="60" t="s">
        <v>81</v>
      </c>
      <c r="H176" s="42">
        <v>86.23</v>
      </c>
      <c r="I176" s="43">
        <f t="shared" si="2"/>
        <v>13.77</v>
      </c>
    </row>
    <row r="177" ht="15.75" customHeight="1">
      <c r="G177" s="59" t="s">
        <v>231</v>
      </c>
      <c r="H177" s="42"/>
      <c r="I177" s="43"/>
    </row>
    <row r="178" ht="15.75" customHeight="1">
      <c r="G178" s="41" t="s">
        <v>232</v>
      </c>
      <c r="H178" s="42">
        <v>84.58</v>
      </c>
      <c r="I178" s="43">
        <f t="shared" ref="I178:I182" si="3">100-H178</f>
        <v>15.42</v>
      </c>
    </row>
    <row r="179" ht="15.75" customHeight="1">
      <c r="G179" s="41" t="s">
        <v>233</v>
      </c>
      <c r="H179" s="42">
        <v>71.34</v>
      </c>
      <c r="I179" s="43">
        <f t="shared" si="3"/>
        <v>28.66</v>
      </c>
    </row>
    <row r="180" ht="15.75" customHeight="1">
      <c r="G180" s="41" t="s">
        <v>234</v>
      </c>
      <c r="H180" s="42">
        <v>66.61</v>
      </c>
      <c r="I180" s="43">
        <f t="shared" si="3"/>
        <v>33.39</v>
      </c>
    </row>
    <row r="181" ht="15.75" customHeight="1">
      <c r="G181" s="41" t="s">
        <v>235</v>
      </c>
      <c r="H181" s="42">
        <v>69.48</v>
      </c>
      <c r="I181" s="43">
        <f t="shared" si="3"/>
        <v>30.52</v>
      </c>
    </row>
    <row r="182" ht="15.75" customHeight="1">
      <c r="G182" s="41" t="s">
        <v>236</v>
      </c>
      <c r="H182" s="42">
        <v>63.3</v>
      </c>
      <c r="I182" s="43">
        <f t="shared" si="3"/>
        <v>36.7</v>
      </c>
    </row>
    <row r="183" ht="15.75" customHeight="1">
      <c r="G183" s="59" t="s">
        <v>237</v>
      </c>
      <c r="H183" s="42"/>
      <c r="I183" s="43"/>
    </row>
    <row r="184" ht="15.75" customHeight="1">
      <c r="G184" s="41" t="s">
        <v>238</v>
      </c>
      <c r="H184" s="42">
        <v>64.2</v>
      </c>
      <c r="I184" s="43">
        <f t="shared" ref="I184:I185" si="4">100-H184</f>
        <v>35.8</v>
      </c>
    </row>
    <row r="185" ht="15.75" customHeight="1">
      <c r="G185" s="43" t="s">
        <v>141</v>
      </c>
      <c r="H185" s="43">
        <v>72.06</v>
      </c>
      <c r="I185" s="43">
        <f t="shared" si="4"/>
        <v>27.94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8:P8"/>
    <mergeCell ref="K32:L32"/>
    <mergeCell ref="I44:J44"/>
    <mergeCell ref="I45:J45"/>
    <mergeCell ref="A162:E162"/>
    <mergeCell ref="G162:P16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26" width="8.71"/>
  </cols>
  <sheetData>
    <row r="1">
      <c r="A1" s="1" t="s">
        <v>0</v>
      </c>
      <c r="B1" s="2">
        <v>45635.0</v>
      </c>
    </row>
    <row r="2">
      <c r="A2" s="5" t="s">
        <v>239</v>
      </c>
      <c r="G2" s="61" t="s">
        <v>240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4">
      <c r="A4" s="8" t="s">
        <v>3</v>
      </c>
      <c r="B4" s="26">
        <v>9.0</v>
      </c>
      <c r="C4" s="8">
        <v>10.0</v>
      </c>
      <c r="D4" s="8">
        <v>11.0</v>
      </c>
    </row>
    <row r="5">
      <c r="A5" s="8"/>
      <c r="B5" s="11">
        <v>2016.0</v>
      </c>
      <c r="C5" s="11" t="s">
        <v>6</v>
      </c>
      <c r="D5" s="11">
        <v>2023.0</v>
      </c>
    </row>
    <row r="6">
      <c r="A6" s="62" t="s">
        <v>241</v>
      </c>
      <c r="B6" s="63">
        <v>6.0</v>
      </c>
      <c r="C6" s="12">
        <v>5.969338</v>
      </c>
      <c r="D6" s="12">
        <v>6.10595</v>
      </c>
    </row>
    <row r="7">
      <c r="A7" s="62" t="s">
        <v>242</v>
      </c>
      <c r="B7" s="12">
        <v>4.3</v>
      </c>
      <c r="C7" s="12">
        <v>4.402421</v>
      </c>
      <c r="D7" s="12">
        <v>4.483884</v>
      </c>
    </row>
    <row r="8">
      <c r="A8" s="62" t="s">
        <v>243</v>
      </c>
      <c r="B8" s="12">
        <v>4.7</v>
      </c>
      <c r="C8" s="12">
        <v>4.879872</v>
      </c>
      <c r="D8" s="12">
        <v>4.999936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14"/>
    <col customWidth="1" min="3" max="8" width="8.71"/>
    <col customWidth="1" min="9" max="9" width="6.0"/>
    <col customWidth="1" min="10" max="14" width="8.71"/>
    <col customWidth="1" min="15" max="15" width="13.57"/>
    <col customWidth="1" min="16" max="26" width="8.71"/>
  </cols>
  <sheetData>
    <row r="1">
      <c r="A1" s="1" t="s">
        <v>0</v>
      </c>
      <c r="B1" s="2">
        <v>45635.0</v>
      </c>
    </row>
    <row r="2">
      <c r="A2" s="5" t="s">
        <v>244</v>
      </c>
      <c r="G2" s="11" t="s">
        <v>245</v>
      </c>
      <c r="H2" s="11" t="s">
        <v>246</v>
      </c>
      <c r="I2" s="11" t="s">
        <v>218</v>
      </c>
      <c r="J2" s="11" t="s">
        <v>247</v>
      </c>
    </row>
    <row r="3">
      <c r="A3" s="64" t="s">
        <v>7</v>
      </c>
      <c r="F3" s="11" t="s">
        <v>248</v>
      </c>
      <c r="G3" s="21">
        <f>D12</f>
        <v>3.44</v>
      </c>
      <c r="H3" s="21">
        <f>D13</f>
        <v>5.26</v>
      </c>
      <c r="I3" s="21">
        <f>D14</f>
        <v>88.09</v>
      </c>
      <c r="J3" s="21">
        <f>D15</f>
        <v>3.21</v>
      </c>
    </row>
    <row r="4">
      <c r="A4" s="30" t="s">
        <v>249</v>
      </c>
      <c r="F4" s="11" t="s">
        <v>250</v>
      </c>
      <c r="G4" s="21">
        <f>D24</f>
        <v>7.92</v>
      </c>
      <c r="H4" s="21">
        <f>D25</f>
        <v>9.97</v>
      </c>
      <c r="I4" s="21">
        <f>D26</f>
        <v>77.25</v>
      </c>
      <c r="J4" s="21">
        <f>D27</f>
        <v>4.86</v>
      </c>
    </row>
    <row r="6">
      <c r="A6" s="30" t="s">
        <v>251</v>
      </c>
      <c r="B6" s="30"/>
      <c r="C6" s="30"/>
      <c r="D6" s="30"/>
      <c r="E6" s="30"/>
      <c r="F6" s="18" t="s">
        <v>252</v>
      </c>
    </row>
    <row r="8">
      <c r="B8" s="11" t="s">
        <v>253</v>
      </c>
    </row>
    <row r="9">
      <c r="B9" s="11" t="s">
        <v>254</v>
      </c>
    </row>
    <row r="10">
      <c r="B10" s="11" t="s">
        <v>255</v>
      </c>
      <c r="C10" s="11" t="s">
        <v>23</v>
      </c>
      <c r="D10" s="11" t="s">
        <v>24</v>
      </c>
      <c r="E10" s="11" t="s">
        <v>25</v>
      </c>
    </row>
    <row r="12">
      <c r="B12" s="11" t="s">
        <v>245</v>
      </c>
      <c r="C12" s="11">
        <v>30.61524492</v>
      </c>
      <c r="D12" s="11">
        <v>3.44</v>
      </c>
      <c r="E12" s="11">
        <v>3.44</v>
      </c>
    </row>
    <row r="13">
      <c r="B13" s="11" t="s">
        <v>246</v>
      </c>
      <c r="C13" s="11">
        <v>46.8302064</v>
      </c>
      <c r="D13" s="11">
        <v>5.26</v>
      </c>
      <c r="E13" s="11">
        <v>8.7</v>
      </c>
    </row>
    <row r="14">
      <c r="B14" s="11" t="s">
        <v>218</v>
      </c>
      <c r="C14" s="11">
        <v>784.0029</v>
      </c>
      <c r="D14" s="11">
        <v>88.09</v>
      </c>
      <c r="E14" s="11">
        <v>96.79</v>
      </c>
    </row>
    <row r="15">
      <c r="A15" s="11" t="s">
        <v>256</v>
      </c>
      <c r="B15" s="11" t="s">
        <v>257</v>
      </c>
      <c r="C15" s="11">
        <v>28.5516489</v>
      </c>
      <c r="D15" s="11">
        <v>3.21</v>
      </c>
      <c r="E15" s="11">
        <v>100.0</v>
      </c>
    </row>
    <row r="17">
      <c r="B17" s="11" t="s">
        <v>32</v>
      </c>
      <c r="C17" s="11">
        <v>890.0</v>
      </c>
      <c r="D17" s="11">
        <v>100.0</v>
      </c>
    </row>
    <row r="18">
      <c r="A18" s="30" t="s">
        <v>258</v>
      </c>
    </row>
    <row r="20">
      <c r="B20" s="11" t="s">
        <v>253</v>
      </c>
    </row>
    <row r="21" ht="15.75" customHeight="1">
      <c r="B21" s="11" t="s">
        <v>254</v>
      </c>
    </row>
    <row r="22" ht="15.75" customHeight="1">
      <c r="B22" s="11" t="s">
        <v>255</v>
      </c>
      <c r="C22" s="11" t="s">
        <v>23</v>
      </c>
      <c r="D22" s="11" t="s">
        <v>24</v>
      </c>
      <c r="E22" s="11" t="s">
        <v>25</v>
      </c>
    </row>
    <row r="23" ht="15.75" customHeight="1"/>
    <row r="24" ht="15.75" customHeight="1">
      <c r="B24" s="11" t="s">
        <v>245</v>
      </c>
      <c r="C24" s="11">
        <v>87.2169149</v>
      </c>
      <c r="D24" s="11">
        <v>7.92</v>
      </c>
      <c r="E24" s="11">
        <v>7.92</v>
      </c>
    </row>
    <row r="25" ht="15.75" customHeight="1">
      <c r="B25" s="11" t="s">
        <v>246</v>
      </c>
      <c r="C25" s="11">
        <v>109.76528</v>
      </c>
      <c r="D25" s="11">
        <v>9.97</v>
      </c>
      <c r="E25" s="11">
        <v>17.89</v>
      </c>
    </row>
    <row r="26" ht="15.75" customHeight="1">
      <c r="B26" s="11" t="s">
        <v>218</v>
      </c>
      <c r="C26" s="11">
        <v>850.5260576</v>
      </c>
      <c r="D26" s="11">
        <v>77.25</v>
      </c>
      <c r="E26" s="11">
        <v>95.14</v>
      </c>
    </row>
    <row r="27" ht="15.75" customHeight="1">
      <c r="A27" s="11" t="s">
        <v>256</v>
      </c>
      <c r="B27" s="11" t="s">
        <v>257</v>
      </c>
      <c r="C27" s="11">
        <v>53.4917473</v>
      </c>
      <c r="D27" s="11">
        <v>4.86</v>
      </c>
      <c r="E27" s="11">
        <v>100.0</v>
      </c>
    </row>
    <row r="28" ht="15.75" customHeight="1"/>
    <row r="29" ht="15.75" customHeight="1">
      <c r="B29" s="11" t="s">
        <v>32</v>
      </c>
      <c r="C29" s="11">
        <v>1101.0</v>
      </c>
      <c r="D29" s="11">
        <v>100.0</v>
      </c>
    </row>
    <row r="30" ht="15.75" customHeight="1"/>
    <row r="31" ht="15.75" customHeight="1">
      <c r="A31" s="65" t="s">
        <v>259</v>
      </c>
      <c r="B31" s="30"/>
      <c r="C31" s="30"/>
      <c r="D31" s="30"/>
      <c r="G31" s="11" t="s">
        <v>245</v>
      </c>
      <c r="H31" s="11" t="s">
        <v>246</v>
      </c>
      <c r="I31" s="11" t="s">
        <v>218</v>
      </c>
      <c r="J31" s="11" t="s">
        <v>260</v>
      </c>
    </row>
    <row r="32" ht="15.75" customHeight="1">
      <c r="F32" s="11" t="s">
        <v>228</v>
      </c>
      <c r="G32" s="21">
        <v>2.94</v>
      </c>
      <c r="H32" s="21">
        <v>3.14</v>
      </c>
      <c r="I32" s="21">
        <v>88.35</v>
      </c>
      <c r="J32" s="21">
        <v>5.58</v>
      </c>
    </row>
    <row r="33" ht="15.75" customHeight="1">
      <c r="A33" s="30" t="s">
        <v>249</v>
      </c>
      <c r="F33" s="11" t="s">
        <v>250</v>
      </c>
      <c r="G33" s="21">
        <v>1.81</v>
      </c>
      <c r="H33" s="21">
        <v>1.93</v>
      </c>
      <c r="I33" s="21">
        <v>87.48</v>
      </c>
      <c r="J33" s="21">
        <v>8.78</v>
      </c>
    </row>
    <row r="34" ht="15.75" customHeight="1"/>
    <row r="35" ht="38.25" customHeight="1">
      <c r="A35" s="11" t="s">
        <v>261</v>
      </c>
      <c r="F35" s="18" t="s">
        <v>262</v>
      </c>
    </row>
    <row r="36" ht="15.75" customHeight="1">
      <c r="A36" s="11" t="s">
        <v>263</v>
      </c>
      <c r="B36" s="11" t="s">
        <v>23</v>
      </c>
      <c r="C36" s="11" t="s">
        <v>24</v>
      </c>
      <c r="D36" s="11" t="s">
        <v>25</v>
      </c>
    </row>
    <row r="37" ht="15.75" customHeight="1"/>
    <row r="38" ht="15.75" customHeight="1">
      <c r="A38" s="11" t="s">
        <v>245</v>
      </c>
      <c r="B38" s="11">
        <v>26.2411988</v>
      </c>
      <c r="C38" s="11">
        <v>2.94</v>
      </c>
      <c r="D38" s="11">
        <v>2.94</v>
      </c>
    </row>
    <row r="39" ht="15.75" customHeight="1">
      <c r="A39" s="11" t="s">
        <v>246</v>
      </c>
      <c r="B39" s="11">
        <v>28.0223277</v>
      </c>
      <c r="C39" s="11">
        <v>3.14</v>
      </c>
      <c r="D39" s="11">
        <v>6.08</v>
      </c>
    </row>
    <row r="40" ht="15.75" customHeight="1">
      <c r="A40" s="11" t="s">
        <v>218</v>
      </c>
      <c r="B40" s="11">
        <v>788.939113</v>
      </c>
      <c r="C40" s="11">
        <v>88.35</v>
      </c>
      <c r="D40" s="11">
        <v>94.42</v>
      </c>
    </row>
    <row r="41" ht="15.75" customHeight="1">
      <c r="A41" s="11" t="s">
        <v>264</v>
      </c>
      <c r="B41" s="11">
        <v>49.7973601</v>
      </c>
      <c r="C41" s="11">
        <v>5.58</v>
      </c>
      <c r="D41" s="11">
        <v>100.0</v>
      </c>
    </row>
    <row r="42" ht="15.75" customHeight="1"/>
    <row r="43" ht="15.75" customHeight="1">
      <c r="A43" s="11" t="s">
        <v>32</v>
      </c>
      <c r="B43" s="11">
        <v>893.0</v>
      </c>
      <c r="C43" s="11">
        <v>100.0</v>
      </c>
    </row>
    <row r="44" ht="15.75" customHeight="1"/>
    <row r="45" ht="15.75" customHeight="1"/>
    <row r="46" ht="15.75" customHeight="1">
      <c r="A46" s="30" t="s">
        <v>258</v>
      </c>
    </row>
    <row r="47" ht="15.75" customHeight="1"/>
    <row r="48" ht="15.75" customHeight="1">
      <c r="A48" s="11" t="s">
        <v>261</v>
      </c>
    </row>
    <row r="49" ht="15.75" customHeight="1">
      <c r="A49" s="11" t="s">
        <v>263</v>
      </c>
      <c r="B49" s="11" t="s">
        <v>23</v>
      </c>
      <c r="C49" s="11" t="s">
        <v>24</v>
      </c>
      <c r="D49" s="11" t="s">
        <v>25</v>
      </c>
    </row>
    <row r="50" ht="15.75" customHeight="1"/>
    <row r="51" ht="15.75" customHeight="1">
      <c r="A51" s="11" t="s">
        <v>245</v>
      </c>
      <c r="B51" s="11">
        <v>19.9998598</v>
      </c>
      <c r="C51" s="11">
        <v>1.81</v>
      </c>
      <c r="D51" s="11">
        <v>1.81</v>
      </c>
    </row>
    <row r="52" ht="15.75" customHeight="1">
      <c r="A52" s="11" t="s">
        <v>246</v>
      </c>
      <c r="B52" s="11">
        <v>21.3031304</v>
      </c>
      <c r="C52" s="11">
        <v>1.93</v>
      </c>
      <c r="D52" s="11">
        <v>3.75</v>
      </c>
    </row>
    <row r="53" ht="15.75" customHeight="1">
      <c r="A53" s="11" t="s">
        <v>218</v>
      </c>
      <c r="B53" s="11">
        <v>963.988077</v>
      </c>
      <c r="C53" s="11">
        <v>87.48</v>
      </c>
      <c r="D53" s="11">
        <v>91.22</v>
      </c>
    </row>
    <row r="54" ht="15.75" customHeight="1">
      <c r="A54" s="11" t="s">
        <v>264</v>
      </c>
      <c r="B54" s="11">
        <v>96.7089325</v>
      </c>
      <c r="C54" s="11">
        <v>8.78</v>
      </c>
      <c r="D54" s="11">
        <v>100.0</v>
      </c>
    </row>
    <row r="55" ht="15.75" customHeight="1"/>
    <row r="56" ht="15.75" customHeight="1">
      <c r="A56" s="11" t="s">
        <v>32</v>
      </c>
      <c r="B56" s="11">
        <v>1102.0</v>
      </c>
      <c r="C56" s="11">
        <v>100.0</v>
      </c>
    </row>
    <row r="57" ht="15.75" customHeight="1">
      <c r="H57" s="11" t="s">
        <v>265</v>
      </c>
      <c r="I57" s="11" t="s">
        <v>266</v>
      </c>
      <c r="J57" s="11" t="s">
        <v>267</v>
      </c>
    </row>
    <row r="58" ht="15.75" customHeight="1">
      <c r="A58" s="30" t="s">
        <v>268</v>
      </c>
      <c r="B58" s="30"/>
      <c r="C58" s="30"/>
      <c r="D58" s="30"/>
      <c r="E58" s="30"/>
      <c r="F58" s="30"/>
      <c r="G58" s="11" t="s">
        <v>228</v>
      </c>
      <c r="H58" s="21">
        <v>12.45</v>
      </c>
      <c r="I58" s="21">
        <v>5.41</v>
      </c>
      <c r="J58" s="21">
        <v>82.14</v>
      </c>
    </row>
    <row r="59" ht="15.75" customHeight="1">
      <c r="A59" s="30" t="s">
        <v>249</v>
      </c>
      <c r="G59" s="11" t="s">
        <v>250</v>
      </c>
      <c r="H59" s="21">
        <v>20.24</v>
      </c>
      <c r="I59" s="21">
        <v>3.58</v>
      </c>
      <c r="J59" s="21">
        <v>76.19</v>
      </c>
    </row>
    <row r="60" ht="37.5" customHeight="1">
      <c r="F60" s="18" t="s">
        <v>269</v>
      </c>
    </row>
    <row r="61" ht="15.75" customHeight="1">
      <c r="A61" s="11" t="s">
        <v>270</v>
      </c>
    </row>
    <row r="62" ht="15.75" customHeight="1">
      <c r="A62" s="11" t="s">
        <v>271</v>
      </c>
      <c r="B62" s="11" t="s">
        <v>23</v>
      </c>
      <c r="C62" s="11" t="s">
        <v>24</v>
      </c>
      <c r="D62" s="11" t="s">
        <v>25</v>
      </c>
    </row>
    <row r="63" ht="15.75" customHeight="1"/>
    <row r="64" ht="15.75" customHeight="1">
      <c r="A64" s="11" t="s">
        <v>265</v>
      </c>
      <c r="B64" s="11">
        <v>103.366656</v>
      </c>
      <c r="C64" s="11">
        <v>12.45</v>
      </c>
      <c r="D64" s="11">
        <v>12.45</v>
      </c>
    </row>
    <row r="65" ht="15.75" customHeight="1">
      <c r="A65" s="11" t="s">
        <v>266</v>
      </c>
      <c r="B65" s="11">
        <v>44.8833097</v>
      </c>
      <c r="C65" s="11">
        <v>5.41</v>
      </c>
      <c r="D65" s="11">
        <v>17.86</v>
      </c>
    </row>
    <row r="66" ht="15.75" customHeight="1">
      <c r="A66" s="11" t="s">
        <v>272</v>
      </c>
      <c r="B66" s="11">
        <v>681.750035</v>
      </c>
      <c r="C66" s="11">
        <v>82.14</v>
      </c>
      <c r="D66" s="11">
        <v>100.0</v>
      </c>
    </row>
    <row r="67" ht="15.75" customHeight="1"/>
    <row r="68" ht="15.75" customHeight="1">
      <c r="A68" s="11" t="s">
        <v>32</v>
      </c>
      <c r="B68" s="11">
        <v>830.0</v>
      </c>
      <c r="C68" s="11">
        <v>100.0</v>
      </c>
    </row>
    <row r="69" ht="15.75" customHeight="1"/>
    <row r="70" ht="15.75" customHeight="1"/>
    <row r="71" ht="15.75" customHeight="1">
      <c r="A71" s="30" t="s">
        <v>258</v>
      </c>
    </row>
    <row r="72" ht="15.75" customHeight="1"/>
    <row r="73" ht="15.75" customHeight="1">
      <c r="A73" s="11" t="s">
        <v>270</v>
      </c>
    </row>
    <row r="74" ht="15.75" customHeight="1">
      <c r="A74" s="11" t="s">
        <v>271</v>
      </c>
      <c r="B74" s="11" t="s">
        <v>23</v>
      </c>
      <c r="C74" s="11" t="s">
        <v>24</v>
      </c>
      <c r="D74" s="11" t="s">
        <v>25</v>
      </c>
    </row>
    <row r="75" ht="15.75" customHeight="1"/>
    <row r="76" ht="15.75" customHeight="1">
      <c r="A76" s="11" t="s">
        <v>265</v>
      </c>
      <c r="B76" s="11">
        <v>209.870249</v>
      </c>
      <c r="C76" s="11">
        <v>20.24</v>
      </c>
      <c r="D76" s="11">
        <v>20.24</v>
      </c>
    </row>
    <row r="77" ht="15.75" customHeight="1">
      <c r="A77" s="11" t="s">
        <v>266</v>
      </c>
      <c r="B77" s="11">
        <v>37.0784917</v>
      </c>
      <c r="C77" s="11">
        <v>3.58</v>
      </c>
      <c r="D77" s="11">
        <v>23.81</v>
      </c>
    </row>
    <row r="78" ht="15.75" customHeight="1">
      <c r="A78" s="11" t="s">
        <v>272</v>
      </c>
      <c r="B78" s="11">
        <v>790.05126</v>
      </c>
      <c r="C78" s="11">
        <v>76.19</v>
      </c>
      <c r="D78" s="11">
        <v>100.0</v>
      </c>
    </row>
    <row r="79" ht="15.75" customHeight="1"/>
    <row r="80" ht="15.75" customHeight="1">
      <c r="A80" s="11" t="s">
        <v>32</v>
      </c>
      <c r="B80" s="11">
        <v>1037.0</v>
      </c>
      <c r="C80" s="11">
        <v>100.0</v>
      </c>
    </row>
    <row r="81" ht="15.75" customHeight="1">
      <c r="H81" s="11" t="s">
        <v>265</v>
      </c>
      <c r="I81" s="11" t="s">
        <v>266</v>
      </c>
      <c r="J81" s="11" t="s">
        <v>267</v>
      </c>
    </row>
    <row r="82" ht="15.75" customHeight="1">
      <c r="A82" s="30" t="s">
        <v>273</v>
      </c>
      <c r="B82" s="30"/>
      <c r="C82" s="30"/>
      <c r="D82" s="30"/>
      <c r="E82" s="30"/>
      <c r="F82" s="30"/>
      <c r="G82" s="11" t="s">
        <v>228</v>
      </c>
      <c r="H82" s="21">
        <v>38.42</v>
      </c>
      <c r="I82" s="21">
        <v>5.07</v>
      </c>
      <c r="J82" s="21">
        <v>56.51</v>
      </c>
    </row>
    <row r="83" ht="15.75" customHeight="1">
      <c r="G83" s="11" t="s">
        <v>250</v>
      </c>
      <c r="H83" s="21">
        <v>53.37</v>
      </c>
      <c r="I83" s="21">
        <v>2.75</v>
      </c>
      <c r="J83" s="21">
        <v>43.88</v>
      </c>
    </row>
    <row r="84" ht="39.0" customHeight="1">
      <c r="A84" s="30" t="s">
        <v>249</v>
      </c>
      <c r="G84" s="18" t="s">
        <v>274</v>
      </c>
    </row>
    <row r="85" ht="15.75" customHeight="1"/>
    <row r="86" ht="15.75" customHeight="1">
      <c r="A86" s="11" t="s">
        <v>275</v>
      </c>
    </row>
    <row r="87" ht="15.75" customHeight="1">
      <c r="A87" s="11" t="s">
        <v>276</v>
      </c>
    </row>
    <row r="88" ht="15.75" customHeight="1">
      <c r="A88" s="11" t="s">
        <v>277</v>
      </c>
      <c r="B88" s="11" t="s">
        <v>23</v>
      </c>
      <c r="C88" s="11" t="s">
        <v>24</v>
      </c>
      <c r="D88" s="11" t="s">
        <v>25</v>
      </c>
    </row>
    <row r="89" ht="15.75" customHeight="1"/>
    <row r="90" ht="15.75" customHeight="1">
      <c r="A90" s="11" t="s">
        <v>265</v>
      </c>
      <c r="B90" s="11">
        <v>305.0737332</v>
      </c>
      <c r="C90" s="11">
        <v>38.42</v>
      </c>
      <c r="D90" s="11">
        <v>38.42</v>
      </c>
    </row>
    <row r="91" ht="15.75" customHeight="1">
      <c r="A91" s="11" t="s">
        <v>266</v>
      </c>
      <c r="B91" s="11">
        <v>40.2433932</v>
      </c>
      <c r="C91" s="11">
        <v>5.07</v>
      </c>
      <c r="D91" s="11">
        <v>43.49</v>
      </c>
    </row>
    <row r="92" ht="15.75" customHeight="1">
      <c r="A92" s="11" t="s">
        <v>272</v>
      </c>
      <c r="B92" s="11">
        <v>448.682874</v>
      </c>
      <c r="C92" s="11">
        <v>56.51</v>
      </c>
      <c r="D92" s="11">
        <v>100.0</v>
      </c>
    </row>
    <row r="93" ht="15.75" customHeight="1"/>
    <row r="94" ht="15.75" customHeight="1">
      <c r="A94" s="11" t="s">
        <v>32</v>
      </c>
      <c r="B94" s="11">
        <v>794.0</v>
      </c>
      <c r="C94" s="11">
        <v>100.0</v>
      </c>
    </row>
    <row r="95" ht="15.75" customHeight="1"/>
    <row r="96" ht="15.75" customHeight="1"/>
    <row r="97" ht="15.75" customHeight="1">
      <c r="A97" s="30" t="s">
        <v>258</v>
      </c>
    </row>
    <row r="98" ht="15.75" customHeight="1"/>
    <row r="99" ht="15.75" customHeight="1">
      <c r="A99" s="11" t="s">
        <v>275</v>
      </c>
    </row>
    <row r="100" ht="15.75" customHeight="1">
      <c r="A100" s="11" t="s">
        <v>276</v>
      </c>
    </row>
    <row r="101" ht="15.75" customHeight="1">
      <c r="A101" s="11" t="s">
        <v>277</v>
      </c>
      <c r="B101" s="11" t="s">
        <v>23</v>
      </c>
      <c r="C101" s="11" t="s">
        <v>24</v>
      </c>
      <c r="D101" s="11" t="s">
        <v>25</v>
      </c>
    </row>
    <row r="102" ht="15.75" customHeight="1"/>
    <row r="103" ht="15.75" customHeight="1">
      <c r="A103" s="11" t="s">
        <v>265</v>
      </c>
      <c r="B103" s="11">
        <v>528.898494</v>
      </c>
      <c r="C103" s="11">
        <v>53.37</v>
      </c>
      <c r="D103" s="11">
        <v>53.37</v>
      </c>
    </row>
    <row r="104" ht="15.75" customHeight="1">
      <c r="A104" s="11" t="s">
        <v>266</v>
      </c>
      <c r="B104" s="11">
        <v>27.2436562</v>
      </c>
      <c r="C104" s="11">
        <v>2.75</v>
      </c>
      <c r="D104" s="11">
        <v>56.12</v>
      </c>
    </row>
    <row r="105" ht="15.75" customHeight="1">
      <c r="A105" s="11" t="s">
        <v>272</v>
      </c>
      <c r="B105" s="11">
        <v>434.8578499</v>
      </c>
      <c r="C105" s="11">
        <v>43.88</v>
      </c>
      <c r="D105" s="11">
        <v>100.0</v>
      </c>
    </row>
    <row r="106" ht="15.75" customHeight="1"/>
    <row r="107" ht="15.75" customHeight="1">
      <c r="A107" s="11" t="s">
        <v>32</v>
      </c>
      <c r="B107" s="11">
        <v>991.0</v>
      </c>
      <c r="C107" s="11">
        <v>100.0</v>
      </c>
    </row>
    <row r="108" ht="15.75" customHeight="1"/>
    <row r="109" ht="15.75" customHeight="1">
      <c r="A109" s="65" t="s">
        <v>278</v>
      </c>
      <c r="B109" s="30"/>
      <c r="C109" s="30"/>
      <c r="D109" s="30"/>
      <c r="E109" s="30"/>
      <c r="F109" s="30"/>
      <c r="G109" s="30"/>
    </row>
    <row r="110" ht="15.75" customHeight="1">
      <c r="A110" s="30" t="s">
        <v>249</v>
      </c>
      <c r="G110" s="11" t="s">
        <v>279</v>
      </c>
      <c r="H110" s="11">
        <v>1.0</v>
      </c>
      <c r="I110" s="11">
        <v>2.0</v>
      </c>
      <c r="J110" s="11">
        <v>3.0</v>
      </c>
      <c r="K110" s="11">
        <v>4.0</v>
      </c>
      <c r="L110" s="11">
        <v>5.0</v>
      </c>
      <c r="M110" s="11" t="s">
        <v>280</v>
      </c>
    </row>
    <row r="111" ht="15.75" customHeight="1">
      <c r="F111" s="11" t="s">
        <v>228</v>
      </c>
      <c r="G111" s="21">
        <v>0.68</v>
      </c>
      <c r="H111" s="21">
        <v>1.55</v>
      </c>
      <c r="I111" s="21">
        <v>6.22</v>
      </c>
      <c r="J111" s="21">
        <v>14.19</v>
      </c>
      <c r="K111" s="21">
        <v>23.69</v>
      </c>
      <c r="L111" s="21">
        <v>19.42</v>
      </c>
      <c r="M111" s="21">
        <v>34.24</v>
      </c>
    </row>
    <row r="112" ht="15.75" customHeight="1">
      <c r="A112" s="11" t="s">
        <v>281</v>
      </c>
      <c r="F112" s="11" t="s">
        <v>229</v>
      </c>
      <c r="G112" s="21">
        <v>2.2</v>
      </c>
      <c r="H112" s="21">
        <v>1.83</v>
      </c>
      <c r="I112" s="21">
        <v>4.04</v>
      </c>
      <c r="J112" s="21">
        <v>15.33</v>
      </c>
      <c r="K112" s="21">
        <v>21.47</v>
      </c>
      <c r="L112" s="21">
        <v>20.01</v>
      </c>
      <c r="M112" s="21">
        <v>35.12</v>
      </c>
    </row>
    <row r="113" ht="36.75" customHeight="1">
      <c r="A113" s="11" t="s">
        <v>282</v>
      </c>
      <c r="F113" s="18" t="s">
        <v>283</v>
      </c>
    </row>
    <row r="114" ht="15.75" customHeight="1">
      <c r="A114" s="11" t="s">
        <v>284</v>
      </c>
      <c r="B114" s="11" t="s">
        <v>23</v>
      </c>
      <c r="C114" s="11" t="s">
        <v>24</v>
      </c>
      <c r="D114" s="11" t="s">
        <v>25</v>
      </c>
    </row>
    <row r="115" ht="15.75" customHeight="1"/>
    <row r="116" ht="15.75" customHeight="1">
      <c r="A116" s="11" t="s">
        <v>285</v>
      </c>
      <c r="B116" s="11">
        <v>5.87684007</v>
      </c>
      <c r="C116" s="11">
        <v>0.68</v>
      </c>
      <c r="D116" s="11">
        <v>0.68</v>
      </c>
    </row>
    <row r="117" ht="15.75" customHeight="1">
      <c r="A117" s="11">
        <v>1.0</v>
      </c>
      <c r="B117" s="11">
        <v>13.4326398</v>
      </c>
      <c r="C117" s="11">
        <v>1.55</v>
      </c>
      <c r="D117" s="11">
        <v>2.23</v>
      </c>
    </row>
    <row r="118" ht="15.75" customHeight="1">
      <c r="A118" s="11">
        <v>2.0</v>
      </c>
      <c r="B118" s="11">
        <v>53.7980119</v>
      </c>
      <c r="C118" s="11">
        <v>6.22</v>
      </c>
      <c r="D118" s="11">
        <v>8.45</v>
      </c>
    </row>
    <row r="119" ht="15.75" customHeight="1">
      <c r="A119" s="11">
        <v>3.0</v>
      </c>
      <c r="B119" s="11">
        <v>122.784705</v>
      </c>
      <c r="C119" s="11">
        <v>14.19</v>
      </c>
      <c r="D119" s="11">
        <v>22.65</v>
      </c>
    </row>
    <row r="120" ht="15.75" customHeight="1">
      <c r="A120" s="11">
        <v>4.0</v>
      </c>
      <c r="B120" s="11">
        <v>204.905137</v>
      </c>
      <c r="C120" s="11">
        <v>23.69</v>
      </c>
      <c r="D120" s="11">
        <v>46.33</v>
      </c>
    </row>
    <row r="121" ht="15.75" customHeight="1">
      <c r="A121" s="11">
        <v>5.0</v>
      </c>
      <c r="B121" s="11">
        <v>167.990804</v>
      </c>
      <c r="C121" s="11">
        <v>19.42</v>
      </c>
      <c r="D121" s="11">
        <v>65.76</v>
      </c>
    </row>
    <row r="122" ht="15.75" customHeight="1">
      <c r="A122" s="11" t="s">
        <v>286</v>
      </c>
      <c r="B122" s="11">
        <v>296.211862</v>
      </c>
      <c r="C122" s="11">
        <v>34.24</v>
      </c>
      <c r="D122" s="11">
        <v>100.0</v>
      </c>
    </row>
    <row r="123" ht="15.75" customHeight="1"/>
    <row r="124" ht="15.75" customHeight="1">
      <c r="A124" s="11" t="s">
        <v>32</v>
      </c>
      <c r="B124" s="11">
        <v>865.0</v>
      </c>
      <c r="C124" s="11">
        <v>100.0</v>
      </c>
    </row>
    <row r="125" ht="15.75" customHeight="1"/>
    <row r="126" ht="15.75" customHeight="1">
      <c r="A126" s="30" t="s">
        <v>258</v>
      </c>
    </row>
    <row r="127" ht="15.75" customHeight="1"/>
    <row r="128" ht="15.75" customHeight="1">
      <c r="A128" s="11" t="s">
        <v>281</v>
      </c>
    </row>
    <row r="129" ht="15.75" customHeight="1">
      <c r="A129" s="11" t="s">
        <v>282</v>
      </c>
    </row>
    <row r="130" ht="15.75" customHeight="1">
      <c r="A130" s="11" t="s">
        <v>284</v>
      </c>
      <c r="B130" s="11" t="s">
        <v>23</v>
      </c>
      <c r="C130" s="11" t="s">
        <v>24</v>
      </c>
      <c r="D130" s="11" t="s">
        <v>25</v>
      </c>
    </row>
    <row r="131" ht="15.75" customHeight="1"/>
    <row r="132" ht="15.75" customHeight="1">
      <c r="A132" s="11" t="s">
        <v>285</v>
      </c>
      <c r="B132" s="11">
        <v>23.310004</v>
      </c>
      <c r="C132" s="11">
        <v>2.2</v>
      </c>
      <c r="D132" s="11">
        <v>2.2</v>
      </c>
    </row>
    <row r="133" ht="15.75" customHeight="1">
      <c r="A133" s="11">
        <v>1.0</v>
      </c>
      <c r="B133" s="11">
        <v>19.4289514</v>
      </c>
      <c r="C133" s="11">
        <v>1.83</v>
      </c>
      <c r="D133" s="11">
        <v>4.03</v>
      </c>
    </row>
    <row r="134" ht="15.75" customHeight="1">
      <c r="A134" s="11">
        <v>2.0</v>
      </c>
      <c r="B134" s="11">
        <v>42.8209773</v>
      </c>
      <c r="C134" s="11">
        <v>4.04</v>
      </c>
      <c r="D134" s="11">
        <v>8.07</v>
      </c>
    </row>
    <row r="135" ht="15.75" customHeight="1">
      <c r="A135" s="11">
        <v>3.0</v>
      </c>
      <c r="B135" s="11">
        <v>162.52766</v>
      </c>
      <c r="C135" s="11">
        <v>15.33</v>
      </c>
      <c r="D135" s="11">
        <v>23.4</v>
      </c>
    </row>
    <row r="136" ht="15.75" customHeight="1">
      <c r="A136" s="11">
        <v>4.0</v>
      </c>
      <c r="B136" s="11">
        <v>227.5508716</v>
      </c>
      <c r="C136" s="11">
        <v>21.47</v>
      </c>
      <c r="D136" s="11">
        <v>44.87</v>
      </c>
    </row>
    <row r="137" ht="15.75" customHeight="1">
      <c r="A137" s="11">
        <v>5.0</v>
      </c>
      <c r="B137" s="11">
        <v>212.078986</v>
      </c>
      <c r="C137" s="11">
        <v>20.01</v>
      </c>
      <c r="D137" s="11">
        <v>64.88</v>
      </c>
    </row>
    <row r="138" ht="15.75" customHeight="1">
      <c r="A138" s="11" t="s">
        <v>286</v>
      </c>
      <c r="B138" s="11">
        <v>372.282549</v>
      </c>
      <c r="C138" s="11">
        <v>35.12</v>
      </c>
      <c r="D138" s="11">
        <v>100.0</v>
      </c>
    </row>
    <row r="139" ht="15.75" customHeight="1"/>
    <row r="140" ht="15.75" customHeight="1">
      <c r="A140" s="11" t="s">
        <v>32</v>
      </c>
      <c r="B140" s="11">
        <v>1060.0</v>
      </c>
      <c r="C140" s="11">
        <v>100.0</v>
      </c>
    </row>
    <row r="141" ht="15.75" customHeight="1"/>
    <row r="142" ht="15.75" customHeight="1">
      <c r="A142" s="30" t="s">
        <v>287</v>
      </c>
      <c r="B142" s="30"/>
      <c r="C142" s="30"/>
      <c r="D142" s="30"/>
      <c r="E142" s="30"/>
      <c r="F142" s="30"/>
      <c r="G142" s="30"/>
      <c r="H142" s="30"/>
    </row>
    <row r="143" ht="15.75" customHeight="1">
      <c r="A143" s="30" t="s">
        <v>249</v>
      </c>
      <c r="G143" s="11" t="s">
        <v>288</v>
      </c>
      <c r="H143" s="11">
        <v>1.0</v>
      </c>
      <c r="I143" s="11">
        <v>2.0</v>
      </c>
      <c r="J143" s="11">
        <v>3.0</v>
      </c>
      <c r="K143" s="11">
        <v>4.0</v>
      </c>
      <c r="L143" s="11">
        <v>5.0</v>
      </c>
      <c r="M143" s="11" t="s">
        <v>289</v>
      </c>
    </row>
    <row r="144" ht="15.75" customHeight="1">
      <c r="F144" s="11" t="s">
        <v>228</v>
      </c>
      <c r="G144" s="21">
        <v>1.46</v>
      </c>
      <c r="H144" s="21">
        <v>1.68</v>
      </c>
      <c r="I144" s="21">
        <v>2.64</v>
      </c>
      <c r="J144" s="21">
        <v>16.91</v>
      </c>
      <c r="K144" s="21">
        <v>18.34</v>
      </c>
      <c r="L144" s="21">
        <v>20.28</v>
      </c>
      <c r="M144" s="21">
        <v>38.7</v>
      </c>
    </row>
    <row r="145" ht="15.75" customHeight="1">
      <c r="A145" s="11" t="s">
        <v>290</v>
      </c>
      <c r="F145" s="11" t="s">
        <v>229</v>
      </c>
      <c r="G145" s="21">
        <v>0.94</v>
      </c>
      <c r="H145" s="21">
        <v>0.07</v>
      </c>
      <c r="I145" s="21">
        <v>2.53</v>
      </c>
      <c r="J145" s="21">
        <v>11.42</v>
      </c>
      <c r="K145" s="21">
        <v>16.04</v>
      </c>
      <c r="L145" s="21">
        <v>20.62</v>
      </c>
      <c r="M145" s="21">
        <v>48.38</v>
      </c>
    </row>
    <row r="146" ht="15.75" customHeight="1">
      <c r="A146" s="11" t="s">
        <v>282</v>
      </c>
    </row>
    <row r="147" ht="43.5" customHeight="1">
      <c r="A147" s="11" t="s">
        <v>291</v>
      </c>
      <c r="B147" s="11" t="s">
        <v>23</v>
      </c>
      <c r="C147" s="11" t="s">
        <v>24</v>
      </c>
      <c r="D147" s="11" t="s">
        <v>25</v>
      </c>
      <c r="F147" s="18" t="s">
        <v>292</v>
      </c>
    </row>
    <row r="148" ht="15.75" customHeight="1"/>
    <row r="149" ht="15.75" customHeight="1">
      <c r="A149" s="11" t="s">
        <v>293</v>
      </c>
      <c r="B149" s="11">
        <v>12.5463622</v>
      </c>
      <c r="C149" s="11">
        <v>1.46</v>
      </c>
      <c r="D149" s="11">
        <v>1.46</v>
      </c>
    </row>
    <row r="150" ht="15.75" customHeight="1">
      <c r="A150" s="11">
        <v>1.0</v>
      </c>
      <c r="B150" s="11">
        <v>14.4538839</v>
      </c>
      <c r="C150" s="11">
        <v>1.68</v>
      </c>
      <c r="D150" s="11">
        <v>3.13</v>
      </c>
    </row>
    <row r="151" ht="15.75" customHeight="1">
      <c r="A151" s="11">
        <v>2.0</v>
      </c>
      <c r="B151" s="11">
        <v>22.7341873</v>
      </c>
      <c r="C151" s="11">
        <v>2.64</v>
      </c>
      <c r="D151" s="11">
        <v>5.77</v>
      </c>
    </row>
    <row r="152" ht="15.75" customHeight="1">
      <c r="A152" s="11">
        <v>3.0</v>
      </c>
      <c r="B152" s="11">
        <v>145.762287</v>
      </c>
      <c r="C152" s="11">
        <v>16.91</v>
      </c>
      <c r="D152" s="11">
        <v>22.68</v>
      </c>
    </row>
    <row r="153" ht="15.75" customHeight="1">
      <c r="A153" s="11">
        <v>4.0</v>
      </c>
      <c r="B153" s="11">
        <v>158.09639</v>
      </c>
      <c r="C153" s="11">
        <v>18.34</v>
      </c>
      <c r="D153" s="11">
        <v>41.02</v>
      </c>
    </row>
    <row r="154" ht="15.75" customHeight="1">
      <c r="A154" s="11">
        <v>5.0</v>
      </c>
      <c r="B154" s="11">
        <v>174.828573</v>
      </c>
      <c r="C154" s="11">
        <v>20.28</v>
      </c>
      <c r="D154" s="11">
        <v>61.3</v>
      </c>
    </row>
    <row r="155" ht="15.75" customHeight="1">
      <c r="A155" s="11" t="s">
        <v>294</v>
      </c>
      <c r="B155" s="11">
        <v>333.5783172</v>
      </c>
      <c r="C155" s="11">
        <v>38.7</v>
      </c>
      <c r="D155" s="11">
        <v>100.0</v>
      </c>
    </row>
    <row r="156" ht="15.75" customHeight="1"/>
    <row r="157" ht="15.75" customHeight="1">
      <c r="A157" s="11" t="s">
        <v>32</v>
      </c>
      <c r="B157" s="11">
        <v>862.0</v>
      </c>
      <c r="C157" s="11">
        <v>100.0</v>
      </c>
    </row>
    <row r="158" ht="15.75" customHeight="1"/>
    <row r="159" ht="15.75" customHeight="1"/>
    <row r="160" ht="15.75" customHeight="1">
      <c r="A160" s="30" t="s">
        <v>258</v>
      </c>
    </row>
    <row r="161" ht="15.75" customHeight="1"/>
    <row r="162" ht="15.75" customHeight="1">
      <c r="A162" s="11" t="s">
        <v>290</v>
      </c>
    </row>
    <row r="163" ht="15.75" customHeight="1">
      <c r="A163" s="11" t="s">
        <v>282</v>
      </c>
    </row>
    <row r="164" ht="15.75" customHeight="1">
      <c r="A164" s="11" t="s">
        <v>291</v>
      </c>
      <c r="B164" s="11" t="s">
        <v>23</v>
      </c>
      <c r="C164" s="11" t="s">
        <v>24</v>
      </c>
      <c r="D164" s="11" t="s">
        <v>25</v>
      </c>
    </row>
    <row r="165" ht="15.75" customHeight="1"/>
    <row r="166" ht="15.75" customHeight="1">
      <c r="A166" s="11" t="s">
        <v>293</v>
      </c>
      <c r="B166" s="11">
        <v>9.86265808</v>
      </c>
      <c r="C166" s="11">
        <v>0.94</v>
      </c>
      <c r="D166" s="11">
        <v>0.94</v>
      </c>
    </row>
    <row r="167" ht="15.75" customHeight="1">
      <c r="A167" s="11">
        <v>1.0</v>
      </c>
      <c r="B167" s="11">
        <v>0.723715984</v>
      </c>
      <c r="C167" s="11">
        <v>0.07</v>
      </c>
      <c r="D167" s="11">
        <v>1.01</v>
      </c>
    </row>
    <row r="168" ht="15.75" customHeight="1">
      <c r="A168" s="11">
        <v>2.0</v>
      </c>
      <c r="B168" s="11">
        <v>26.4399139</v>
      </c>
      <c r="C168" s="11">
        <v>2.53</v>
      </c>
      <c r="D168" s="11">
        <v>3.54</v>
      </c>
    </row>
    <row r="169" ht="15.75" customHeight="1">
      <c r="A169" s="11">
        <v>3.0</v>
      </c>
      <c r="B169" s="11">
        <v>119.578755</v>
      </c>
      <c r="C169" s="11">
        <v>11.42</v>
      </c>
      <c r="D169" s="11">
        <v>14.96</v>
      </c>
    </row>
    <row r="170" ht="15.75" customHeight="1">
      <c r="A170" s="11">
        <v>4.0</v>
      </c>
      <c r="B170" s="11">
        <v>167.901732</v>
      </c>
      <c r="C170" s="11">
        <v>16.04</v>
      </c>
      <c r="D170" s="11">
        <v>30.99</v>
      </c>
    </row>
    <row r="171" ht="15.75" customHeight="1">
      <c r="A171" s="11">
        <v>5.0</v>
      </c>
      <c r="B171" s="11">
        <v>215.906875</v>
      </c>
      <c r="C171" s="11">
        <v>20.62</v>
      </c>
      <c r="D171" s="11">
        <v>51.62</v>
      </c>
    </row>
    <row r="172" ht="15.75" customHeight="1">
      <c r="A172" s="11" t="s">
        <v>294</v>
      </c>
      <c r="B172" s="11">
        <v>506.58635</v>
      </c>
      <c r="C172" s="11">
        <v>48.38</v>
      </c>
      <c r="D172" s="11">
        <v>100.0</v>
      </c>
    </row>
    <row r="173" ht="15.75" customHeight="1"/>
    <row r="174" ht="15.75" customHeight="1">
      <c r="A174" s="11" t="s">
        <v>32</v>
      </c>
      <c r="B174" s="11">
        <v>1047.0</v>
      </c>
      <c r="C174" s="11">
        <v>100.0</v>
      </c>
    </row>
    <row r="175" ht="15.75" customHeight="1"/>
    <row r="176" ht="15.75" customHeight="1">
      <c r="A176" s="30" t="s">
        <v>295</v>
      </c>
      <c r="B176" s="30"/>
      <c r="C176" s="30"/>
      <c r="D176" s="30"/>
      <c r="E176" s="30"/>
      <c r="F176" s="30"/>
      <c r="G176" s="30"/>
      <c r="H176" s="30"/>
      <c r="I176" s="30"/>
    </row>
    <row r="177" ht="15.75" customHeight="1">
      <c r="A177" s="30" t="s">
        <v>249</v>
      </c>
      <c r="G177" s="11" t="s">
        <v>296</v>
      </c>
      <c r="H177" s="11">
        <v>1.0</v>
      </c>
      <c r="I177" s="11">
        <v>2.0</v>
      </c>
      <c r="J177" s="11">
        <v>3.0</v>
      </c>
      <c r="K177" s="11">
        <v>4.0</v>
      </c>
      <c r="L177" s="11">
        <v>5.0</v>
      </c>
      <c r="M177" s="11" t="s">
        <v>297</v>
      </c>
    </row>
    <row r="178" ht="15.75" customHeight="1">
      <c r="F178" s="11" t="s">
        <v>228</v>
      </c>
      <c r="G178" s="21">
        <v>0.43</v>
      </c>
      <c r="H178" s="21">
        <v>0.51</v>
      </c>
      <c r="I178" s="21">
        <v>1.76</v>
      </c>
      <c r="J178" s="21">
        <v>14.76</v>
      </c>
      <c r="K178" s="21">
        <v>19.46</v>
      </c>
      <c r="L178" s="21">
        <v>23.36</v>
      </c>
      <c r="M178" s="21">
        <v>39.72</v>
      </c>
    </row>
    <row r="179" ht="15.75" customHeight="1">
      <c r="A179" s="11" t="s">
        <v>298</v>
      </c>
      <c r="F179" s="11" t="s">
        <v>229</v>
      </c>
      <c r="G179" s="21">
        <v>0.52</v>
      </c>
      <c r="H179" s="21">
        <v>0.23</v>
      </c>
      <c r="I179" s="21">
        <v>1.56</v>
      </c>
      <c r="J179" s="21">
        <v>9.21</v>
      </c>
      <c r="K179" s="21">
        <v>15.92</v>
      </c>
      <c r="L179" s="21">
        <v>20.89</v>
      </c>
      <c r="M179" s="21">
        <v>51.66</v>
      </c>
    </row>
    <row r="180" ht="41.25" customHeight="1">
      <c r="A180" s="11" t="s">
        <v>282</v>
      </c>
      <c r="F180" s="18" t="s">
        <v>299</v>
      </c>
    </row>
    <row r="181" ht="15.75" customHeight="1">
      <c r="A181" s="11" t="s">
        <v>300</v>
      </c>
      <c r="B181" s="11" t="s">
        <v>23</v>
      </c>
      <c r="C181" s="11" t="s">
        <v>24</v>
      </c>
      <c r="D181" s="11" t="s">
        <v>25</v>
      </c>
    </row>
    <row r="182" ht="15.75" customHeight="1"/>
    <row r="183" ht="15.75" customHeight="1">
      <c r="A183" s="11" t="s">
        <v>301</v>
      </c>
      <c r="B183" s="11">
        <v>3.76055296</v>
      </c>
      <c r="C183" s="11">
        <v>0.43</v>
      </c>
      <c r="D183" s="11">
        <v>0.43</v>
      </c>
    </row>
    <row r="184" ht="15.75" customHeight="1">
      <c r="A184" s="11">
        <v>1.0</v>
      </c>
      <c r="B184" s="11">
        <v>4.40297927</v>
      </c>
      <c r="C184" s="11">
        <v>0.51</v>
      </c>
      <c r="D184" s="11">
        <v>0.94</v>
      </c>
    </row>
    <row r="185" ht="15.75" customHeight="1">
      <c r="A185" s="11">
        <v>2.0</v>
      </c>
      <c r="B185" s="11">
        <v>15.2639766</v>
      </c>
      <c r="C185" s="11">
        <v>1.76</v>
      </c>
      <c r="D185" s="11">
        <v>2.7</v>
      </c>
    </row>
    <row r="186" ht="15.75" customHeight="1">
      <c r="A186" s="11">
        <v>3.0</v>
      </c>
      <c r="B186" s="11">
        <v>127.9426976</v>
      </c>
      <c r="C186" s="11">
        <v>14.76</v>
      </c>
      <c r="D186" s="11">
        <v>17.46</v>
      </c>
    </row>
    <row r="187" ht="15.75" customHeight="1">
      <c r="A187" s="11">
        <v>4.0</v>
      </c>
      <c r="B187" s="11">
        <v>168.745964</v>
      </c>
      <c r="C187" s="11">
        <v>19.46</v>
      </c>
      <c r="D187" s="11">
        <v>36.92</v>
      </c>
    </row>
    <row r="188" ht="15.75" customHeight="1">
      <c r="A188" s="11">
        <v>5.0</v>
      </c>
      <c r="B188" s="11">
        <v>202.547881</v>
      </c>
      <c r="C188" s="11">
        <v>23.36</v>
      </c>
      <c r="D188" s="11">
        <v>60.28</v>
      </c>
    </row>
    <row r="189" ht="15.75" customHeight="1">
      <c r="A189" s="11" t="s">
        <v>302</v>
      </c>
      <c r="B189" s="11">
        <v>344.335949</v>
      </c>
      <c r="C189" s="11">
        <v>39.72</v>
      </c>
      <c r="D189" s="11">
        <v>100.0</v>
      </c>
    </row>
    <row r="190" ht="15.75" customHeight="1"/>
    <row r="191" ht="15.75" customHeight="1">
      <c r="A191" s="11" t="s">
        <v>32</v>
      </c>
      <c r="B191" s="11">
        <v>867.0</v>
      </c>
      <c r="C191" s="11">
        <v>100.0</v>
      </c>
    </row>
    <row r="192" ht="15.75" customHeight="1"/>
    <row r="193" ht="15.75" customHeight="1"/>
    <row r="194" ht="15.75" customHeight="1">
      <c r="A194" s="30" t="s">
        <v>258</v>
      </c>
    </row>
    <row r="195" ht="15.75" customHeight="1"/>
    <row r="196" ht="15.75" customHeight="1">
      <c r="A196" s="11" t="s">
        <v>298</v>
      </c>
    </row>
    <row r="197" ht="15.75" customHeight="1">
      <c r="A197" s="11" t="s">
        <v>282</v>
      </c>
    </row>
    <row r="198" ht="15.75" customHeight="1">
      <c r="A198" s="11" t="s">
        <v>300</v>
      </c>
      <c r="B198" s="11" t="s">
        <v>23</v>
      </c>
      <c r="C198" s="11" t="s">
        <v>24</v>
      </c>
      <c r="D198" s="11" t="s">
        <v>25</v>
      </c>
    </row>
    <row r="199" ht="15.75" customHeight="1"/>
    <row r="200" ht="15.75" customHeight="1">
      <c r="A200" s="11" t="s">
        <v>301</v>
      </c>
      <c r="B200" s="11">
        <v>5.54381773</v>
      </c>
      <c r="C200" s="11">
        <v>0.52</v>
      </c>
      <c r="D200" s="11">
        <v>0.52</v>
      </c>
    </row>
    <row r="201" ht="15.75" customHeight="1">
      <c r="A201" s="11">
        <v>1.0</v>
      </c>
      <c r="B201" s="11">
        <v>2.45949938</v>
      </c>
      <c r="C201" s="11">
        <v>0.23</v>
      </c>
      <c r="D201" s="11">
        <v>0.75</v>
      </c>
    </row>
    <row r="202" ht="15.75" customHeight="1">
      <c r="A202" s="11">
        <v>2.0</v>
      </c>
      <c r="B202" s="11">
        <v>16.6419486</v>
      </c>
      <c r="C202" s="11">
        <v>1.56</v>
      </c>
      <c r="D202" s="11">
        <v>2.32</v>
      </c>
    </row>
    <row r="203" ht="15.75" customHeight="1">
      <c r="A203" s="11">
        <v>3.0</v>
      </c>
      <c r="B203" s="11">
        <v>98.0262717</v>
      </c>
      <c r="C203" s="11">
        <v>9.21</v>
      </c>
      <c r="D203" s="11">
        <v>11.53</v>
      </c>
    </row>
    <row r="204" ht="15.75" customHeight="1">
      <c r="A204" s="11">
        <v>4.0</v>
      </c>
      <c r="B204" s="11">
        <v>169.35304</v>
      </c>
      <c r="C204" s="11">
        <v>15.92</v>
      </c>
      <c r="D204" s="11">
        <v>27.45</v>
      </c>
    </row>
    <row r="205" ht="15.75" customHeight="1">
      <c r="A205" s="11">
        <v>5.0</v>
      </c>
      <c r="B205" s="11">
        <v>222.264283</v>
      </c>
      <c r="C205" s="11">
        <v>20.89</v>
      </c>
      <c r="D205" s="11">
        <v>48.34</v>
      </c>
    </row>
    <row r="206" ht="15.75" customHeight="1">
      <c r="A206" s="11" t="s">
        <v>302</v>
      </c>
      <c r="B206" s="11">
        <v>549.7111398</v>
      </c>
      <c r="C206" s="11">
        <v>51.66</v>
      </c>
      <c r="D206" s="11">
        <v>100.0</v>
      </c>
    </row>
    <row r="207" ht="15.75" customHeight="1"/>
    <row r="208" ht="15.75" customHeight="1">
      <c r="A208" s="11" t="s">
        <v>32</v>
      </c>
      <c r="B208" s="11">
        <v>1064.0</v>
      </c>
      <c r="C208" s="11">
        <v>100.0</v>
      </c>
    </row>
    <row r="209" ht="15.75" customHeight="1"/>
    <row r="210" ht="15.75" customHeight="1">
      <c r="A210" s="65" t="s">
        <v>303</v>
      </c>
      <c r="B210" s="30"/>
      <c r="C210" s="30"/>
      <c r="D210" s="30"/>
      <c r="E210" s="30"/>
      <c r="F210" s="30"/>
      <c r="G210" s="30"/>
      <c r="H210" s="30"/>
    </row>
    <row r="211" ht="15.75" customHeight="1">
      <c r="G211" s="11" t="s">
        <v>304</v>
      </c>
      <c r="H211" s="11">
        <v>1.0</v>
      </c>
      <c r="I211" s="11">
        <v>2.0</v>
      </c>
      <c r="J211" s="11">
        <v>3.0</v>
      </c>
      <c r="K211" s="11">
        <v>4.0</v>
      </c>
      <c r="L211" s="11">
        <v>5.0</v>
      </c>
      <c r="M211" s="11" t="s">
        <v>305</v>
      </c>
    </row>
    <row r="212" ht="15.75" customHeight="1">
      <c r="A212" s="30" t="s">
        <v>249</v>
      </c>
      <c r="F212" s="11" t="s">
        <v>228</v>
      </c>
      <c r="G212" s="21">
        <v>0.26</v>
      </c>
      <c r="H212" s="21">
        <v>0.45</v>
      </c>
      <c r="I212" s="21">
        <v>2.25</v>
      </c>
      <c r="J212" s="21">
        <v>10.43</v>
      </c>
      <c r="K212" s="21">
        <v>18.08</v>
      </c>
      <c r="L212" s="21">
        <v>18.49</v>
      </c>
      <c r="M212" s="21">
        <v>50.04</v>
      </c>
    </row>
    <row r="213" ht="15.75" customHeight="1">
      <c r="F213" s="11" t="s">
        <v>229</v>
      </c>
      <c r="G213" s="21">
        <v>0.26</v>
      </c>
      <c r="H213" s="21">
        <v>0.25</v>
      </c>
      <c r="I213" s="21">
        <v>1.01</v>
      </c>
      <c r="J213" s="21">
        <v>4.57</v>
      </c>
      <c r="K213" s="21">
        <v>14.53</v>
      </c>
      <c r="L213" s="21">
        <v>20.47</v>
      </c>
      <c r="M213" s="21">
        <v>58.9</v>
      </c>
    </row>
    <row r="214" ht="15.75" customHeight="1">
      <c r="A214" s="11" t="s">
        <v>306</v>
      </c>
    </row>
    <row r="215" ht="34.5" customHeight="1">
      <c r="A215" s="11" t="s">
        <v>307</v>
      </c>
      <c r="F215" s="18" t="s">
        <v>308</v>
      </c>
    </row>
    <row r="216" ht="15.75" customHeight="1">
      <c r="A216" s="11" t="s">
        <v>309</v>
      </c>
      <c r="B216" s="11" t="s">
        <v>23</v>
      </c>
      <c r="C216" s="11" t="s">
        <v>24</v>
      </c>
      <c r="D216" s="11" t="s">
        <v>25</v>
      </c>
    </row>
    <row r="217" ht="15.75" customHeight="1"/>
    <row r="218" ht="15.75" customHeight="1">
      <c r="A218" s="11" t="s">
        <v>310</v>
      </c>
      <c r="B218" s="11">
        <v>2.314392229</v>
      </c>
      <c r="C218" s="11">
        <v>0.26</v>
      </c>
      <c r="D218" s="11">
        <v>0.26</v>
      </c>
    </row>
    <row r="219" ht="15.75" customHeight="1">
      <c r="A219" s="11">
        <v>1.0</v>
      </c>
      <c r="B219" s="11">
        <v>3.9311909</v>
      </c>
      <c r="C219" s="11">
        <v>0.45</v>
      </c>
      <c r="D219" s="11">
        <v>0.71</v>
      </c>
    </row>
    <row r="220" ht="15.75" customHeight="1">
      <c r="A220" s="11">
        <v>2.0</v>
      </c>
      <c r="B220" s="11">
        <v>19.8479543</v>
      </c>
      <c r="C220" s="11">
        <v>2.25</v>
      </c>
      <c r="D220" s="11">
        <v>2.96</v>
      </c>
    </row>
    <row r="221" ht="15.75" customHeight="1">
      <c r="A221" s="11">
        <v>3.0</v>
      </c>
      <c r="B221" s="11">
        <v>92.0778846</v>
      </c>
      <c r="C221" s="11">
        <v>10.43</v>
      </c>
      <c r="D221" s="11">
        <v>13.38</v>
      </c>
    </row>
    <row r="222" ht="15.75" customHeight="1">
      <c r="A222" s="11">
        <v>4.0</v>
      </c>
      <c r="B222" s="11">
        <v>159.679003</v>
      </c>
      <c r="C222" s="11">
        <v>18.08</v>
      </c>
      <c r="D222" s="11">
        <v>31.47</v>
      </c>
    </row>
    <row r="223" ht="15.75" customHeight="1">
      <c r="A223" s="11">
        <v>5.0</v>
      </c>
      <c r="B223" s="11">
        <v>163.2578365</v>
      </c>
      <c r="C223" s="11">
        <v>18.49</v>
      </c>
      <c r="D223" s="11">
        <v>49.96</v>
      </c>
    </row>
    <row r="224" ht="15.75" customHeight="1">
      <c r="A224" s="11" t="s">
        <v>311</v>
      </c>
      <c r="B224" s="11">
        <v>441.891739</v>
      </c>
      <c r="C224" s="11">
        <v>50.04</v>
      </c>
      <c r="D224" s="11">
        <v>100.0</v>
      </c>
    </row>
    <row r="225" ht="15.75" customHeight="1"/>
    <row r="226" ht="15.75" customHeight="1">
      <c r="A226" s="11" t="s">
        <v>32</v>
      </c>
      <c r="B226" s="11">
        <v>883.0</v>
      </c>
      <c r="C226" s="11">
        <v>100.0</v>
      </c>
    </row>
    <row r="227" ht="15.75" customHeight="1"/>
    <row r="228" ht="15.75" customHeight="1"/>
    <row r="229" ht="15.75" customHeight="1">
      <c r="A229" s="30" t="s">
        <v>258</v>
      </c>
    </row>
    <row r="230" ht="15.75" customHeight="1"/>
    <row r="231" ht="15.75" customHeight="1">
      <c r="A231" s="11" t="s">
        <v>306</v>
      </c>
    </row>
    <row r="232" ht="15.75" customHeight="1">
      <c r="A232" s="11" t="s">
        <v>307</v>
      </c>
    </row>
    <row r="233" ht="15.75" customHeight="1">
      <c r="A233" s="11" t="s">
        <v>309</v>
      </c>
      <c r="B233" s="11" t="s">
        <v>23</v>
      </c>
      <c r="C233" s="11" t="s">
        <v>24</v>
      </c>
      <c r="D233" s="11" t="s">
        <v>25</v>
      </c>
    </row>
    <row r="234" ht="15.75" customHeight="1"/>
    <row r="235" ht="15.75" customHeight="1">
      <c r="A235" s="11" t="s">
        <v>310</v>
      </c>
      <c r="B235" s="11">
        <v>2.80384666</v>
      </c>
      <c r="C235" s="11">
        <v>0.26</v>
      </c>
      <c r="D235" s="11">
        <v>0.26</v>
      </c>
    </row>
    <row r="236" ht="15.75" customHeight="1">
      <c r="A236" s="11">
        <v>1.0</v>
      </c>
      <c r="B236" s="11">
        <v>2.75723683</v>
      </c>
      <c r="C236" s="11">
        <v>0.25</v>
      </c>
      <c r="D236" s="11">
        <v>0.51</v>
      </c>
    </row>
    <row r="237" ht="15.75" customHeight="1">
      <c r="A237" s="11">
        <v>2.0</v>
      </c>
      <c r="B237" s="11">
        <v>10.9415204</v>
      </c>
      <c r="C237" s="11">
        <v>1.01</v>
      </c>
      <c r="D237" s="11">
        <v>1.53</v>
      </c>
    </row>
    <row r="238" ht="15.75" customHeight="1">
      <c r="A238" s="11">
        <v>3.0</v>
      </c>
      <c r="B238" s="11">
        <v>49.4612022</v>
      </c>
      <c r="C238" s="11">
        <v>4.57</v>
      </c>
      <c r="D238" s="11">
        <v>6.1</v>
      </c>
    </row>
    <row r="239" ht="15.75" customHeight="1">
      <c r="A239" s="11">
        <v>4.0</v>
      </c>
      <c r="B239" s="11">
        <v>157.231823</v>
      </c>
      <c r="C239" s="11">
        <v>14.53</v>
      </c>
      <c r="D239" s="11">
        <v>20.63</v>
      </c>
    </row>
    <row r="240" ht="15.75" customHeight="1">
      <c r="A240" s="11">
        <v>5.0</v>
      </c>
      <c r="B240" s="11">
        <v>221.4622708</v>
      </c>
      <c r="C240" s="11">
        <v>20.47</v>
      </c>
      <c r="D240" s="11">
        <v>41.1</v>
      </c>
    </row>
    <row r="241" ht="15.75" customHeight="1">
      <c r="A241" s="11" t="s">
        <v>311</v>
      </c>
      <c r="B241" s="11">
        <v>637.3421</v>
      </c>
      <c r="C241" s="11">
        <v>58.9</v>
      </c>
      <c r="D241" s="11">
        <v>100.0</v>
      </c>
    </row>
    <row r="242" ht="15.75" customHeight="1"/>
    <row r="243" ht="15.75" customHeight="1">
      <c r="A243" s="11" t="s">
        <v>32</v>
      </c>
      <c r="B243" s="11">
        <v>1082.0</v>
      </c>
      <c r="C243" s="11">
        <v>100.0</v>
      </c>
    </row>
    <row r="244" ht="15.75" customHeight="1"/>
    <row r="245" ht="15.75" customHeight="1">
      <c r="A245" s="65" t="s">
        <v>312</v>
      </c>
      <c r="B245" s="30"/>
      <c r="C245" s="30"/>
      <c r="D245" s="30"/>
      <c r="E245" s="30"/>
      <c r="F245" s="30"/>
    </row>
    <row r="246" ht="15.75" customHeight="1">
      <c r="A246" s="30" t="s">
        <v>249</v>
      </c>
      <c r="F246" s="66"/>
      <c r="G246" s="67" t="s">
        <v>313</v>
      </c>
      <c r="H246" s="67" t="s">
        <v>314</v>
      </c>
      <c r="I246" s="67" t="s">
        <v>315</v>
      </c>
      <c r="J246" s="67" t="s">
        <v>316</v>
      </c>
      <c r="K246" s="67" t="s">
        <v>317</v>
      </c>
    </row>
    <row r="247" ht="15.75" customHeight="1">
      <c r="F247" s="67" t="s">
        <v>228</v>
      </c>
      <c r="G247" s="68">
        <v>6.0</v>
      </c>
      <c r="H247" s="68">
        <v>13.0</v>
      </c>
      <c r="I247" s="68">
        <v>18.0</v>
      </c>
      <c r="J247" s="68">
        <v>33.0</v>
      </c>
      <c r="K247" s="68">
        <v>31.0</v>
      </c>
    </row>
    <row r="248" ht="15.75" customHeight="1">
      <c r="A248" s="11" t="s">
        <v>318</v>
      </c>
      <c r="F248" s="67" t="s">
        <v>229</v>
      </c>
      <c r="G248" s="68">
        <v>6.0</v>
      </c>
      <c r="H248" s="68">
        <v>8.0</v>
      </c>
      <c r="I248" s="68">
        <v>14.0</v>
      </c>
      <c r="J248" s="68">
        <v>32.0</v>
      </c>
      <c r="K248" s="68">
        <v>41.0</v>
      </c>
    </row>
    <row r="249" ht="35.25" customHeight="1">
      <c r="A249" s="11" t="s">
        <v>319</v>
      </c>
      <c r="F249" s="18" t="s">
        <v>320</v>
      </c>
    </row>
    <row r="250" ht="15.75" customHeight="1">
      <c r="A250" s="11" t="s">
        <v>321</v>
      </c>
      <c r="B250" s="11" t="s">
        <v>23</v>
      </c>
      <c r="C250" s="11" t="s">
        <v>24</v>
      </c>
      <c r="D250" s="11" t="s">
        <v>25</v>
      </c>
    </row>
    <row r="251" ht="15.75" customHeight="1"/>
    <row r="252" ht="15.75" customHeight="1">
      <c r="A252" s="11" t="s">
        <v>317</v>
      </c>
      <c r="B252" s="11">
        <v>264.087063</v>
      </c>
      <c r="C252" s="11">
        <v>30.71</v>
      </c>
      <c r="D252" s="11">
        <v>30.71</v>
      </c>
    </row>
    <row r="253" ht="15.75" customHeight="1">
      <c r="A253" s="11" t="s">
        <v>316</v>
      </c>
      <c r="B253" s="11">
        <v>281.084146</v>
      </c>
      <c r="C253" s="11">
        <v>32.68</v>
      </c>
      <c r="D253" s="11">
        <v>63.39</v>
      </c>
    </row>
    <row r="254" ht="15.75" customHeight="1">
      <c r="A254" s="11" t="s">
        <v>315</v>
      </c>
      <c r="B254" s="11">
        <v>154.728779</v>
      </c>
      <c r="C254" s="11">
        <v>17.99</v>
      </c>
      <c r="D254" s="11">
        <v>81.38</v>
      </c>
    </row>
    <row r="255" ht="15.75" customHeight="1">
      <c r="A255" s="11" t="s">
        <v>314</v>
      </c>
      <c r="B255" s="11">
        <v>108.9300101</v>
      </c>
      <c r="C255" s="11">
        <v>12.67</v>
      </c>
      <c r="D255" s="11">
        <v>94.05</v>
      </c>
    </row>
    <row r="256" ht="15.75" customHeight="1">
      <c r="A256" s="11" t="s">
        <v>313</v>
      </c>
      <c r="B256" s="11">
        <v>51.170002</v>
      </c>
      <c r="C256" s="11">
        <v>5.95</v>
      </c>
      <c r="D256" s="11">
        <v>100.0</v>
      </c>
    </row>
    <row r="257" ht="15.75" customHeight="1"/>
    <row r="258" ht="15.75" customHeight="1">
      <c r="A258" s="11" t="s">
        <v>32</v>
      </c>
      <c r="B258" s="11">
        <v>860.0</v>
      </c>
      <c r="C258" s="11">
        <v>100.0</v>
      </c>
    </row>
    <row r="259" ht="15.75" customHeight="1"/>
    <row r="260" ht="15.75" customHeight="1"/>
    <row r="261" ht="15.75" customHeight="1">
      <c r="A261" s="30" t="s">
        <v>258</v>
      </c>
    </row>
    <row r="262" ht="15.75" customHeight="1"/>
    <row r="263" ht="15.75" customHeight="1">
      <c r="A263" s="11" t="s">
        <v>318</v>
      </c>
    </row>
    <row r="264" ht="15.75" customHeight="1">
      <c r="A264" s="11" t="s">
        <v>319</v>
      </c>
    </row>
    <row r="265" ht="15.75" customHeight="1">
      <c r="A265" s="11" t="s">
        <v>321</v>
      </c>
      <c r="B265" s="11" t="s">
        <v>23</v>
      </c>
      <c r="C265" s="11" t="s">
        <v>24</v>
      </c>
      <c r="D265" s="11" t="s">
        <v>25</v>
      </c>
    </row>
    <row r="266" ht="15.75" customHeight="1"/>
    <row r="267" ht="15.75" customHeight="1">
      <c r="A267" s="11" t="s">
        <v>317</v>
      </c>
      <c r="B267" s="11">
        <v>438.6999471</v>
      </c>
      <c r="C267" s="11">
        <v>40.81</v>
      </c>
      <c r="D267" s="11">
        <v>40.81</v>
      </c>
    </row>
    <row r="268" ht="15.75" customHeight="1">
      <c r="A268" s="11" t="s">
        <v>316</v>
      </c>
      <c r="B268" s="11">
        <v>342.613992</v>
      </c>
      <c r="C268" s="11">
        <v>31.87</v>
      </c>
      <c r="D268" s="11">
        <v>72.68</v>
      </c>
    </row>
    <row r="269" ht="15.75" customHeight="1">
      <c r="A269" s="11" t="s">
        <v>315</v>
      </c>
      <c r="B269" s="11">
        <v>149.452679</v>
      </c>
      <c r="C269" s="11">
        <v>13.9</v>
      </c>
      <c r="D269" s="11">
        <v>86.58</v>
      </c>
    </row>
    <row r="270" ht="15.75" customHeight="1">
      <c r="A270" s="11" t="s">
        <v>314</v>
      </c>
      <c r="B270" s="11">
        <v>83.292896</v>
      </c>
      <c r="C270" s="11">
        <v>7.75</v>
      </c>
      <c r="D270" s="11">
        <v>94.33</v>
      </c>
    </row>
    <row r="271" ht="15.75" customHeight="1">
      <c r="A271" s="11" t="s">
        <v>313</v>
      </c>
      <c r="B271" s="11">
        <v>60.940486</v>
      </c>
      <c r="C271" s="11">
        <v>5.67</v>
      </c>
      <c r="D271" s="11">
        <v>100.0</v>
      </c>
    </row>
    <row r="272" ht="15.75" customHeight="1"/>
    <row r="273" ht="15.75" customHeight="1">
      <c r="A273" s="11" t="s">
        <v>32</v>
      </c>
      <c r="B273" s="11">
        <v>1075.0</v>
      </c>
      <c r="C273" s="11">
        <v>100.0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215:O215"/>
    <mergeCell ref="F249:O249"/>
    <mergeCell ref="F6:O6"/>
    <mergeCell ref="F35:O35"/>
    <mergeCell ref="F60:O60"/>
    <mergeCell ref="G84:P84"/>
    <mergeCell ref="F113:O113"/>
    <mergeCell ref="F147:O147"/>
    <mergeCell ref="F180:O180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57"/>
    <col customWidth="1" min="3" max="3" width="9.0"/>
    <col customWidth="1" min="4" max="4" width="8.71"/>
    <col customWidth="1" min="5" max="5" width="4.71"/>
    <col customWidth="1" min="6" max="6" width="27.29"/>
    <col customWidth="1" min="7" max="26" width="8.71"/>
  </cols>
  <sheetData>
    <row r="1">
      <c r="A1" s="1" t="s">
        <v>0</v>
      </c>
      <c r="B1" s="2">
        <v>45635.0</v>
      </c>
    </row>
    <row r="2">
      <c r="A2" s="5" t="s">
        <v>322</v>
      </c>
      <c r="H2" s="18" t="s">
        <v>323</v>
      </c>
    </row>
    <row r="3">
      <c r="A3" s="64" t="s">
        <v>7</v>
      </c>
    </row>
    <row r="5">
      <c r="A5" s="30" t="s">
        <v>324</v>
      </c>
      <c r="B5" s="30"/>
      <c r="F5" s="30" t="s">
        <v>324</v>
      </c>
    </row>
    <row r="6">
      <c r="A6" s="11" t="s">
        <v>325</v>
      </c>
      <c r="F6" s="11" t="s">
        <v>326</v>
      </c>
      <c r="G6" s="21">
        <v>3.19</v>
      </c>
    </row>
    <row r="7">
      <c r="A7" s="11" t="s">
        <v>327</v>
      </c>
      <c r="F7" s="11" t="s">
        <v>328</v>
      </c>
      <c r="G7" s="21">
        <v>4.35</v>
      </c>
    </row>
    <row r="8">
      <c r="A8" s="11" t="s">
        <v>329</v>
      </c>
      <c r="F8" s="11" t="s">
        <v>330</v>
      </c>
      <c r="G8" s="21">
        <v>5.44</v>
      </c>
    </row>
    <row r="9">
      <c r="A9" s="11" t="s">
        <v>331</v>
      </c>
      <c r="F9" s="11" t="s">
        <v>332</v>
      </c>
      <c r="G9" s="21">
        <v>5.52</v>
      </c>
    </row>
    <row r="10">
      <c r="A10" s="11" t="s">
        <v>333</v>
      </c>
      <c r="F10" s="11" t="s">
        <v>334</v>
      </c>
      <c r="G10" s="21">
        <v>6.91</v>
      </c>
    </row>
    <row r="11">
      <c r="A11" s="11" t="s">
        <v>335</v>
      </c>
      <c r="F11" s="11" t="s">
        <v>336</v>
      </c>
      <c r="G11" s="21">
        <v>6.96</v>
      </c>
    </row>
    <row r="12">
      <c r="A12" s="11" t="s">
        <v>337</v>
      </c>
      <c r="B12" s="11" t="s">
        <v>23</v>
      </c>
      <c r="C12" s="11" t="s">
        <v>24</v>
      </c>
      <c r="D12" s="11" t="s">
        <v>25</v>
      </c>
      <c r="F12" s="11" t="s">
        <v>338</v>
      </c>
      <c r="G12" s="21">
        <v>8.89</v>
      </c>
    </row>
    <row r="13">
      <c r="F13" s="11" t="s">
        <v>339</v>
      </c>
      <c r="G13" s="21">
        <v>12.02</v>
      </c>
    </row>
    <row r="14">
      <c r="A14" s="11" t="s">
        <v>340</v>
      </c>
      <c r="B14" s="11">
        <v>1907.230615</v>
      </c>
      <c r="C14" s="11">
        <v>94.56</v>
      </c>
      <c r="D14" s="11">
        <v>94.56</v>
      </c>
      <c r="F14" s="11" t="s">
        <v>341</v>
      </c>
      <c r="G14" s="21">
        <v>12.32</v>
      </c>
    </row>
    <row r="15">
      <c r="A15" s="11" t="s">
        <v>342</v>
      </c>
      <c r="B15" s="11">
        <v>109.769385</v>
      </c>
      <c r="C15" s="11">
        <v>5.44</v>
      </c>
      <c r="D15" s="11">
        <v>100.0</v>
      </c>
      <c r="F15" s="11" t="s">
        <v>343</v>
      </c>
      <c r="G15" s="21">
        <v>13.59</v>
      </c>
    </row>
    <row r="16">
      <c r="F16" s="11" t="s">
        <v>344</v>
      </c>
      <c r="G16" s="21">
        <v>18.26</v>
      </c>
    </row>
    <row r="17">
      <c r="A17" s="11" t="s">
        <v>32</v>
      </c>
      <c r="B17" s="11">
        <v>2017.0</v>
      </c>
      <c r="C17" s="11">
        <v>100.0</v>
      </c>
      <c r="F17" s="11" t="s">
        <v>345</v>
      </c>
      <c r="G17" s="21">
        <v>52.15</v>
      </c>
    </row>
    <row r="19">
      <c r="A19" s="11" t="s">
        <v>325</v>
      </c>
    </row>
    <row r="20">
      <c r="A20" s="11" t="s">
        <v>327</v>
      </c>
    </row>
    <row r="21" ht="15.75" customHeight="1">
      <c r="A21" s="11" t="s">
        <v>329</v>
      </c>
    </row>
    <row r="22" ht="15.75" customHeight="1">
      <c r="A22" s="11" t="s">
        <v>331</v>
      </c>
    </row>
    <row r="23" ht="15.75" customHeight="1">
      <c r="A23" s="11" t="s">
        <v>346</v>
      </c>
    </row>
    <row r="24" ht="15.75" customHeight="1">
      <c r="A24" s="11" t="s">
        <v>347</v>
      </c>
      <c r="B24" s="11" t="s">
        <v>23</v>
      </c>
      <c r="C24" s="11" t="s">
        <v>24</v>
      </c>
      <c r="D24" s="11" t="s">
        <v>25</v>
      </c>
    </row>
    <row r="25" ht="15.75" customHeight="1"/>
    <row r="26" ht="15.75" customHeight="1">
      <c r="A26" s="11" t="s">
        <v>340</v>
      </c>
      <c r="B26" s="11">
        <v>1768.50825</v>
      </c>
      <c r="C26" s="11">
        <v>87.68</v>
      </c>
      <c r="D26" s="11">
        <v>87.68</v>
      </c>
    </row>
    <row r="27" ht="15.75" customHeight="1">
      <c r="A27" s="11" t="s">
        <v>342</v>
      </c>
      <c r="B27" s="11">
        <v>248.4917469</v>
      </c>
      <c r="C27" s="11">
        <v>12.32</v>
      </c>
      <c r="D27" s="11">
        <v>100.0</v>
      </c>
    </row>
    <row r="28" ht="15.75" customHeight="1"/>
    <row r="29" ht="15.75" customHeight="1">
      <c r="A29" s="11" t="s">
        <v>32</v>
      </c>
      <c r="B29" s="11">
        <v>2017.0</v>
      </c>
      <c r="C29" s="11">
        <v>100.0</v>
      </c>
    </row>
    <row r="30" ht="15.75" customHeight="1"/>
    <row r="31" ht="15.75" customHeight="1"/>
    <row r="32" ht="15.75" customHeight="1">
      <c r="A32" s="11" t="s">
        <v>325</v>
      </c>
    </row>
    <row r="33" ht="15.75" customHeight="1">
      <c r="A33" s="11" t="s">
        <v>327</v>
      </c>
    </row>
    <row r="34" ht="15.75" customHeight="1">
      <c r="A34" s="11" t="s">
        <v>329</v>
      </c>
    </row>
    <row r="35" ht="15.75" customHeight="1">
      <c r="A35" s="11" t="s">
        <v>331</v>
      </c>
    </row>
    <row r="36" ht="15.75" customHeight="1">
      <c r="A36" s="11" t="s">
        <v>348</v>
      </c>
    </row>
    <row r="37" ht="15.75" customHeight="1">
      <c r="A37" s="11" t="s">
        <v>349</v>
      </c>
      <c r="B37" s="11" t="s">
        <v>23</v>
      </c>
      <c r="C37" s="11" t="s">
        <v>24</v>
      </c>
      <c r="D37" s="11" t="s">
        <v>25</v>
      </c>
    </row>
    <row r="38" ht="15.75" customHeight="1"/>
    <row r="39" ht="15.75" customHeight="1">
      <c r="A39" s="11" t="s">
        <v>340</v>
      </c>
      <c r="B39" s="11">
        <v>1876.65541</v>
      </c>
      <c r="C39" s="11">
        <v>93.04</v>
      </c>
      <c r="D39" s="11">
        <v>93.04</v>
      </c>
    </row>
    <row r="40" ht="15.75" customHeight="1">
      <c r="A40" s="11" t="s">
        <v>342</v>
      </c>
      <c r="B40" s="11">
        <v>140.344585</v>
      </c>
      <c r="C40" s="11">
        <v>6.96</v>
      </c>
      <c r="D40" s="11">
        <v>100.0</v>
      </c>
    </row>
    <row r="41" ht="15.75" customHeight="1"/>
    <row r="42" ht="15.75" customHeight="1">
      <c r="A42" s="11" t="s">
        <v>32</v>
      </c>
      <c r="B42" s="11">
        <v>2017.0</v>
      </c>
      <c r="C42" s="11">
        <v>100.0</v>
      </c>
    </row>
    <row r="43" ht="15.75" customHeight="1"/>
    <row r="44" ht="15.75" customHeight="1">
      <c r="A44" s="11" t="s">
        <v>325</v>
      </c>
    </row>
    <row r="45" ht="15.75" customHeight="1">
      <c r="A45" s="11" t="s">
        <v>327</v>
      </c>
    </row>
    <row r="46" ht="15.75" customHeight="1">
      <c r="A46" s="11" t="s">
        <v>329</v>
      </c>
    </row>
    <row r="47" ht="15.75" customHeight="1">
      <c r="A47" s="11" t="s">
        <v>331</v>
      </c>
    </row>
    <row r="48" ht="15.75" customHeight="1">
      <c r="A48" s="11" t="s">
        <v>350</v>
      </c>
      <c r="B48" s="11" t="s">
        <v>23</v>
      </c>
      <c r="C48" s="11" t="s">
        <v>24</v>
      </c>
      <c r="D48" s="11" t="s">
        <v>25</v>
      </c>
    </row>
    <row r="49" ht="15.75" customHeight="1"/>
    <row r="50" ht="15.75" customHeight="1">
      <c r="A50" s="11" t="s">
        <v>340</v>
      </c>
      <c r="B50" s="11">
        <v>1877.56584</v>
      </c>
      <c r="C50" s="11">
        <v>93.09</v>
      </c>
      <c r="D50" s="11">
        <v>93.09</v>
      </c>
    </row>
    <row r="51" ht="15.75" customHeight="1">
      <c r="A51" s="11" t="s">
        <v>342</v>
      </c>
      <c r="B51" s="11">
        <v>139.434161</v>
      </c>
      <c r="C51" s="11">
        <v>6.91</v>
      </c>
      <c r="D51" s="11">
        <v>100.0</v>
      </c>
    </row>
    <row r="52" ht="15.75" customHeight="1"/>
    <row r="53" ht="15.75" customHeight="1">
      <c r="A53" s="11" t="s">
        <v>32</v>
      </c>
      <c r="B53" s="11">
        <v>2017.0</v>
      </c>
      <c r="C53" s="11">
        <v>100.0</v>
      </c>
    </row>
    <row r="54" ht="15.75" customHeight="1"/>
    <row r="55" ht="15.75" customHeight="1">
      <c r="A55" s="11" t="s">
        <v>325</v>
      </c>
    </row>
    <row r="56" ht="15.75" customHeight="1">
      <c r="A56" s="11" t="s">
        <v>327</v>
      </c>
    </row>
    <row r="57" ht="15.75" customHeight="1">
      <c r="A57" s="11" t="s">
        <v>329</v>
      </c>
    </row>
    <row r="58" ht="15.75" customHeight="1">
      <c r="A58" s="11" t="s">
        <v>331</v>
      </c>
    </row>
    <row r="59" ht="15.75" customHeight="1">
      <c r="A59" s="11" t="s">
        <v>351</v>
      </c>
    </row>
    <row r="60" ht="15.75" customHeight="1">
      <c r="A60" s="11" t="s">
        <v>352</v>
      </c>
      <c r="B60" s="11" t="s">
        <v>23</v>
      </c>
      <c r="C60" s="11" t="s">
        <v>24</v>
      </c>
      <c r="D60" s="11" t="s">
        <v>25</v>
      </c>
    </row>
    <row r="61" ht="15.75" customHeight="1"/>
    <row r="62" ht="15.75" customHeight="1">
      <c r="A62" s="11" t="s">
        <v>340</v>
      </c>
      <c r="B62" s="11">
        <v>1648.79466</v>
      </c>
      <c r="C62" s="11">
        <v>81.74</v>
      </c>
      <c r="D62" s="11">
        <v>81.74</v>
      </c>
    </row>
    <row r="63" ht="15.75" customHeight="1">
      <c r="A63" s="11" t="s">
        <v>342</v>
      </c>
      <c r="B63" s="11">
        <v>368.205344</v>
      </c>
      <c r="C63" s="11">
        <v>18.26</v>
      </c>
      <c r="D63" s="11">
        <v>100.0</v>
      </c>
    </row>
    <row r="64" ht="15.75" customHeight="1"/>
    <row r="65" ht="15.75" customHeight="1">
      <c r="A65" s="11" t="s">
        <v>32</v>
      </c>
      <c r="B65" s="11">
        <v>2017.0</v>
      </c>
      <c r="C65" s="11">
        <v>100.0</v>
      </c>
    </row>
    <row r="66" ht="15.75" customHeight="1"/>
    <row r="67" ht="15.75" customHeight="1"/>
    <row r="68" ht="15.75" customHeight="1">
      <c r="A68" s="11" t="s">
        <v>325</v>
      </c>
    </row>
    <row r="69" ht="15.75" customHeight="1">
      <c r="A69" s="11" t="s">
        <v>327</v>
      </c>
    </row>
    <row r="70" ht="15.75" customHeight="1">
      <c r="A70" s="11" t="s">
        <v>329</v>
      </c>
    </row>
    <row r="71" ht="15.75" customHeight="1">
      <c r="A71" s="11" t="s">
        <v>331</v>
      </c>
    </row>
    <row r="72" ht="15.75" customHeight="1">
      <c r="A72" s="11" t="s">
        <v>353</v>
      </c>
    </row>
    <row r="73" ht="15.75" customHeight="1">
      <c r="A73" s="11" t="s">
        <v>354</v>
      </c>
    </row>
    <row r="74" ht="15.75" customHeight="1">
      <c r="A74" s="11" t="s">
        <v>355</v>
      </c>
    </row>
    <row r="75" ht="15.75" customHeight="1">
      <c r="A75" s="11" t="s">
        <v>356</v>
      </c>
      <c r="B75" s="11" t="s">
        <v>23</v>
      </c>
      <c r="C75" s="11" t="s">
        <v>24</v>
      </c>
      <c r="D75" s="11" t="s">
        <v>25</v>
      </c>
    </row>
    <row r="76" ht="15.75" customHeight="1"/>
    <row r="77" ht="15.75" customHeight="1">
      <c r="A77" s="11" t="s">
        <v>340</v>
      </c>
      <c r="B77" s="11">
        <v>1774.60043</v>
      </c>
      <c r="C77" s="11">
        <v>87.98</v>
      </c>
      <c r="D77" s="11">
        <v>87.98</v>
      </c>
    </row>
    <row r="78" ht="15.75" customHeight="1">
      <c r="A78" s="11" t="s">
        <v>342</v>
      </c>
      <c r="B78" s="11">
        <v>242.399572</v>
      </c>
      <c r="C78" s="11">
        <v>12.02</v>
      </c>
      <c r="D78" s="11">
        <v>100.0</v>
      </c>
    </row>
    <row r="79" ht="15.75" customHeight="1"/>
    <row r="80" ht="15.75" customHeight="1">
      <c r="A80" s="11" t="s">
        <v>32</v>
      </c>
      <c r="B80" s="11">
        <v>2017.0</v>
      </c>
      <c r="C80" s="11">
        <v>100.0</v>
      </c>
    </row>
    <row r="81" ht="15.75" customHeight="1"/>
    <row r="82" ht="15.75" customHeight="1"/>
    <row r="83" ht="15.75" customHeight="1">
      <c r="A83" s="11" t="s">
        <v>325</v>
      </c>
    </row>
    <row r="84" ht="15.75" customHeight="1">
      <c r="A84" s="11" t="s">
        <v>327</v>
      </c>
    </row>
    <row r="85" ht="15.75" customHeight="1">
      <c r="A85" s="11" t="s">
        <v>329</v>
      </c>
    </row>
    <row r="86" ht="15.75" customHeight="1">
      <c r="A86" s="11" t="s">
        <v>331</v>
      </c>
    </row>
    <row r="87" ht="15.75" customHeight="1">
      <c r="A87" s="11" t="s">
        <v>353</v>
      </c>
    </row>
    <row r="88" ht="15.75" customHeight="1">
      <c r="A88" s="11" t="s">
        <v>354</v>
      </c>
    </row>
    <row r="89" ht="15.75" customHeight="1">
      <c r="A89" s="11" t="s">
        <v>357</v>
      </c>
    </row>
    <row r="90" ht="15.75" customHeight="1">
      <c r="A90" s="11" t="s">
        <v>358</v>
      </c>
      <c r="B90" s="11" t="s">
        <v>23</v>
      </c>
      <c r="C90" s="11" t="s">
        <v>24</v>
      </c>
      <c r="D90" s="11" t="s">
        <v>25</v>
      </c>
    </row>
    <row r="91" ht="15.75" customHeight="1"/>
    <row r="92" ht="15.75" customHeight="1">
      <c r="A92" s="11" t="s">
        <v>340</v>
      </c>
      <c r="B92" s="11">
        <v>1742.85845</v>
      </c>
      <c r="C92" s="11">
        <v>86.41</v>
      </c>
      <c r="D92" s="11">
        <v>86.41</v>
      </c>
    </row>
    <row r="93" ht="15.75" customHeight="1">
      <c r="A93" s="11" t="s">
        <v>342</v>
      </c>
      <c r="B93" s="11">
        <v>274.1415535</v>
      </c>
      <c r="C93" s="11">
        <v>13.59</v>
      </c>
      <c r="D93" s="11">
        <v>100.0</v>
      </c>
    </row>
    <row r="94" ht="15.75" customHeight="1"/>
    <row r="95" ht="15.75" customHeight="1">
      <c r="A95" s="11" t="s">
        <v>32</v>
      </c>
      <c r="B95" s="11">
        <v>2017.0</v>
      </c>
      <c r="C95" s="11">
        <v>100.0</v>
      </c>
    </row>
    <row r="96" ht="15.75" customHeight="1"/>
    <row r="97" ht="15.75" customHeight="1">
      <c r="A97" s="11" t="s">
        <v>325</v>
      </c>
    </row>
    <row r="98" ht="15.75" customHeight="1">
      <c r="A98" s="11" t="s">
        <v>327</v>
      </c>
    </row>
    <row r="99" ht="15.75" customHeight="1">
      <c r="A99" s="11" t="s">
        <v>329</v>
      </c>
    </row>
    <row r="100" ht="15.75" customHeight="1">
      <c r="A100" s="11" t="s">
        <v>331</v>
      </c>
    </row>
    <row r="101" ht="15.75" customHeight="1">
      <c r="A101" s="11" t="s">
        <v>359</v>
      </c>
    </row>
    <row r="102" ht="15.75" customHeight="1">
      <c r="A102" s="11" t="s">
        <v>360</v>
      </c>
    </row>
    <row r="103" ht="15.75" customHeight="1">
      <c r="A103" s="11" t="s">
        <v>361</v>
      </c>
      <c r="B103" s="11" t="s">
        <v>23</v>
      </c>
      <c r="C103" s="11" t="s">
        <v>24</v>
      </c>
      <c r="D103" s="11" t="s">
        <v>25</v>
      </c>
    </row>
    <row r="104" ht="15.75" customHeight="1"/>
    <row r="105" ht="15.75" customHeight="1">
      <c r="A105" s="11" t="s">
        <v>340</v>
      </c>
      <c r="B105" s="11">
        <v>1837.6357</v>
      </c>
      <c r="C105" s="11">
        <v>91.11</v>
      </c>
      <c r="D105" s="11">
        <v>91.11</v>
      </c>
    </row>
    <row r="106" ht="15.75" customHeight="1">
      <c r="A106" s="11" t="s">
        <v>342</v>
      </c>
      <c r="B106" s="11">
        <v>179.364301</v>
      </c>
      <c r="C106" s="11">
        <v>8.89</v>
      </c>
      <c r="D106" s="11">
        <v>100.0</v>
      </c>
    </row>
    <row r="107" ht="15.75" customHeight="1"/>
    <row r="108" ht="15.75" customHeight="1">
      <c r="A108" s="11" t="s">
        <v>32</v>
      </c>
      <c r="B108" s="11">
        <v>2017.0</v>
      </c>
      <c r="C108" s="11">
        <v>100.0</v>
      </c>
    </row>
    <row r="109" ht="15.75" customHeight="1"/>
    <row r="110" ht="15.75" customHeight="1">
      <c r="A110" s="11" t="s">
        <v>325</v>
      </c>
    </row>
    <row r="111" ht="15.75" customHeight="1">
      <c r="A111" s="11" t="s">
        <v>327</v>
      </c>
    </row>
    <row r="112" ht="15.75" customHeight="1">
      <c r="A112" s="11" t="s">
        <v>329</v>
      </c>
    </row>
    <row r="113" ht="15.75" customHeight="1">
      <c r="A113" s="11" t="s">
        <v>331</v>
      </c>
    </row>
    <row r="114" ht="15.75" customHeight="1">
      <c r="A114" s="11" t="s">
        <v>362</v>
      </c>
    </row>
    <row r="115" ht="15.75" customHeight="1">
      <c r="A115" s="11" t="s">
        <v>363</v>
      </c>
    </row>
    <row r="116" ht="15.75" customHeight="1">
      <c r="A116" s="11" t="s">
        <v>361</v>
      </c>
      <c r="B116" s="11" t="s">
        <v>23</v>
      </c>
      <c r="C116" s="11" t="s">
        <v>24</v>
      </c>
      <c r="D116" s="11" t="s">
        <v>25</v>
      </c>
    </row>
    <row r="117" ht="15.75" customHeight="1"/>
    <row r="118" ht="15.75" customHeight="1">
      <c r="A118" s="11" t="s">
        <v>340</v>
      </c>
      <c r="B118" s="11">
        <v>1905.568793</v>
      </c>
      <c r="C118" s="11">
        <v>94.48</v>
      </c>
      <c r="D118" s="11">
        <v>94.48</v>
      </c>
    </row>
    <row r="119" ht="15.75" customHeight="1">
      <c r="A119" s="11" t="s">
        <v>342</v>
      </c>
      <c r="B119" s="11">
        <v>111.431207</v>
      </c>
      <c r="C119" s="11">
        <v>5.52</v>
      </c>
      <c r="D119" s="11">
        <v>100.0</v>
      </c>
    </row>
    <row r="120" ht="15.75" customHeight="1"/>
    <row r="121" ht="15.75" customHeight="1">
      <c r="A121" s="11" t="s">
        <v>32</v>
      </c>
      <c r="B121" s="11">
        <v>2017.0</v>
      </c>
      <c r="C121" s="11">
        <v>100.0</v>
      </c>
    </row>
    <row r="122" ht="15.75" customHeight="1"/>
    <row r="123" ht="15.75" customHeight="1">
      <c r="A123" s="11" t="s">
        <v>325</v>
      </c>
    </row>
    <row r="124" ht="15.75" customHeight="1">
      <c r="A124" s="11" t="s">
        <v>327</v>
      </c>
    </row>
    <row r="125" ht="15.75" customHeight="1">
      <c r="A125" s="11" t="s">
        <v>329</v>
      </c>
    </row>
    <row r="126" ht="15.75" customHeight="1">
      <c r="A126" s="11" t="s">
        <v>331</v>
      </c>
    </row>
    <row r="127" ht="15.75" customHeight="1">
      <c r="A127" s="11" t="s">
        <v>364</v>
      </c>
    </row>
    <row r="128" ht="15.75" customHeight="1">
      <c r="A128" s="11" t="s">
        <v>365</v>
      </c>
      <c r="B128" s="11" t="s">
        <v>23</v>
      </c>
      <c r="C128" s="11" t="s">
        <v>24</v>
      </c>
      <c r="D128" s="11" t="s">
        <v>25</v>
      </c>
    </row>
    <row r="129" ht="15.75" customHeight="1"/>
    <row r="130" ht="15.75" customHeight="1">
      <c r="A130" s="11" t="s">
        <v>340</v>
      </c>
      <c r="B130" s="11">
        <v>1929.32141</v>
      </c>
      <c r="C130" s="11">
        <v>95.65</v>
      </c>
      <c r="D130" s="11">
        <v>95.65</v>
      </c>
    </row>
    <row r="131" ht="15.75" customHeight="1">
      <c r="A131" s="11" t="s">
        <v>342</v>
      </c>
      <c r="B131" s="11">
        <v>87.6785876</v>
      </c>
      <c r="C131" s="11">
        <v>4.35</v>
      </c>
      <c r="D131" s="11">
        <v>100.0</v>
      </c>
    </row>
    <row r="132" ht="15.75" customHeight="1"/>
    <row r="133" ht="15.75" customHeight="1">
      <c r="A133" s="11" t="s">
        <v>32</v>
      </c>
      <c r="B133" s="11">
        <v>2017.0</v>
      </c>
      <c r="C133" s="11">
        <v>100.0</v>
      </c>
    </row>
    <row r="134" ht="15.75" customHeight="1"/>
    <row r="135" ht="15.75" customHeight="1">
      <c r="A135" s="11" t="s">
        <v>325</v>
      </c>
    </row>
    <row r="136" ht="15.75" customHeight="1">
      <c r="A136" s="11" t="s">
        <v>327</v>
      </c>
    </row>
    <row r="137" ht="15.75" customHeight="1">
      <c r="A137" s="11" t="s">
        <v>329</v>
      </c>
    </row>
    <row r="138" ht="15.75" customHeight="1">
      <c r="A138" s="11" t="s">
        <v>331</v>
      </c>
    </row>
    <row r="139" ht="15.75" customHeight="1">
      <c r="A139" s="11" t="s">
        <v>366</v>
      </c>
      <c r="B139" s="11" t="s">
        <v>23</v>
      </c>
      <c r="C139" s="11" t="s">
        <v>24</v>
      </c>
      <c r="D139" s="11" t="s">
        <v>25</v>
      </c>
    </row>
    <row r="140" ht="15.75" customHeight="1"/>
    <row r="141" ht="15.75" customHeight="1">
      <c r="A141" s="11" t="s">
        <v>340</v>
      </c>
      <c r="B141" s="11">
        <v>1952.62953</v>
      </c>
      <c r="C141" s="11">
        <v>96.81</v>
      </c>
      <c r="D141" s="11">
        <v>96.81</v>
      </c>
    </row>
    <row r="142" ht="15.75" customHeight="1">
      <c r="A142" s="11" t="s">
        <v>342</v>
      </c>
      <c r="B142" s="11">
        <v>64.3704663</v>
      </c>
      <c r="C142" s="11">
        <v>3.19</v>
      </c>
      <c r="D142" s="11">
        <v>100.0</v>
      </c>
    </row>
    <row r="143" ht="15.75" customHeight="1"/>
    <row r="144" ht="15.75" customHeight="1">
      <c r="A144" s="11" t="s">
        <v>32</v>
      </c>
      <c r="B144" s="11">
        <v>2017.0</v>
      </c>
      <c r="C144" s="11">
        <v>100.0</v>
      </c>
    </row>
    <row r="145" ht="15.75" customHeight="1"/>
    <row r="146" ht="15.75" customHeight="1"/>
    <row r="147" ht="15.75" customHeight="1">
      <c r="A147" s="11" t="s">
        <v>325</v>
      </c>
    </row>
    <row r="148" ht="15.75" customHeight="1">
      <c r="A148" s="11" t="s">
        <v>327</v>
      </c>
    </row>
    <row r="149" ht="15.75" customHeight="1">
      <c r="A149" s="11" t="s">
        <v>329</v>
      </c>
    </row>
    <row r="150" ht="15.75" customHeight="1">
      <c r="A150" s="11" t="s">
        <v>331</v>
      </c>
    </row>
    <row r="151" ht="15.75" customHeight="1">
      <c r="A151" s="11" t="s">
        <v>367</v>
      </c>
    </row>
    <row r="152" ht="15.75" customHeight="1">
      <c r="A152" s="11" t="s">
        <v>368</v>
      </c>
      <c r="B152" s="11" t="s">
        <v>23</v>
      </c>
      <c r="C152" s="11" t="s">
        <v>24</v>
      </c>
      <c r="D152" s="11" t="s">
        <v>25</v>
      </c>
    </row>
    <row r="153" ht="15.75" customHeight="1"/>
    <row r="154" ht="15.75" customHeight="1">
      <c r="A154" s="11" t="s">
        <v>340</v>
      </c>
      <c r="B154" s="11">
        <v>965.180975</v>
      </c>
      <c r="C154" s="11">
        <v>47.85</v>
      </c>
      <c r="D154" s="11">
        <v>47.85</v>
      </c>
    </row>
    <row r="155" ht="15.75" customHeight="1">
      <c r="A155" s="11" t="s">
        <v>342</v>
      </c>
      <c r="B155" s="11">
        <v>1051.81903</v>
      </c>
      <c r="C155" s="11">
        <v>52.15</v>
      </c>
      <c r="D155" s="11">
        <v>100.0</v>
      </c>
      <c r="F155" s="18" t="s">
        <v>369</v>
      </c>
    </row>
    <row r="156" ht="15.75" customHeight="1"/>
    <row r="157" ht="15.75" customHeight="1">
      <c r="A157" s="11" t="s">
        <v>32</v>
      </c>
      <c r="B157" s="11">
        <v>2017.0</v>
      </c>
      <c r="C157" s="11">
        <v>100.0</v>
      </c>
    </row>
    <row r="158" ht="15.75" customHeight="1"/>
    <row r="159" ht="15.75" customHeight="1"/>
    <row r="160" ht="15.75" customHeight="1">
      <c r="A160" s="30" t="s">
        <v>370</v>
      </c>
    </row>
    <row r="161" ht="15.75" customHeight="1">
      <c r="A161" s="30" t="s">
        <v>371</v>
      </c>
    </row>
    <row r="162" ht="15.75" customHeight="1">
      <c r="A162" s="30" t="s">
        <v>372</v>
      </c>
    </row>
    <row r="163" ht="15.75" customHeight="1">
      <c r="A163" s="30" t="s">
        <v>373</v>
      </c>
    </row>
    <row r="164" ht="15.75" customHeight="1">
      <c r="A164" s="30" t="s">
        <v>374</v>
      </c>
    </row>
    <row r="165" ht="15.75" customHeight="1">
      <c r="A165" s="30" t="s">
        <v>329</v>
      </c>
    </row>
    <row r="166" ht="15.75" customHeight="1">
      <c r="A166" s="30" t="s">
        <v>375</v>
      </c>
      <c r="B166" s="11" t="s">
        <v>23</v>
      </c>
      <c r="C166" s="11" t="s">
        <v>24</v>
      </c>
      <c r="D166" s="11" t="s">
        <v>25</v>
      </c>
    </row>
    <row r="167" ht="15.75" customHeight="1"/>
    <row r="168" ht="15.75" customHeight="1">
      <c r="A168" s="11" t="s">
        <v>212</v>
      </c>
      <c r="B168" s="11">
        <v>270.89049</v>
      </c>
      <c r="C168" s="21">
        <v>13.5</v>
      </c>
      <c r="D168" s="11">
        <v>13.5</v>
      </c>
    </row>
    <row r="169" ht="15.75" customHeight="1">
      <c r="A169" s="11" t="s">
        <v>218</v>
      </c>
      <c r="B169" s="11">
        <v>1735.10951</v>
      </c>
      <c r="C169" s="21">
        <v>86.5</v>
      </c>
      <c r="D169" s="11">
        <v>100.0</v>
      </c>
    </row>
    <row r="170" ht="15.75" customHeight="1"/>
    <row r="171" ht="15.75" customHeight="1">
      <c r="A171" s="11" t="s">
        <v>32</v>
      </c>
      <c r="B171" s="11">
        <v>2006.0</v>
      </c>
      <c r="C171" s="11">
        <v>100.0</v>
      </c>
    </row>
    <row r="172" ht="15.75" customHeight="1"/>
    <row r="173" ht="15.75" customHeight="1"/>
    <row r="174" ht="15.75" customHeight="1"/>
    <row r="175" ht="15.75" customHeight="1">
      <c r="A175" s="30" t="s">
        <v>376</v>
      </c>
      <c r="B175" s="30"/>
    </row>
    <row r="176" ht="15.75" customHeight="1">
      <c r="A176" s="11" t="s">
        <v>377</v>
      </c>
      <c r="B176" s="11" t="s">
        <v>378</v>
      </c>
      <c r="G176" s="11" t="s">
        <v>379</v>
      </c>
      <c r="H176" s="11" t="s">
        <v>380</v>
      </c>
      <c r="I176" s="11" t="s">
        <v>381</v>
      </c>
      <c r="J176" s="11" t="s">
        <v>382</v>
      </c>
    </row>
    <row r="177" ht="15.75" customHeight="1">
      <c r="B177" s="11" t="s">
        <v>383</v>
      </c>
      <c r="C177" s="11" t="s">
        <v>23</v>
      </c>
      <c r="D177" s="11" t="s">
        <v>24</v>
      </c>
      <c r="E177" s="11" t="s">
        <v>25</v>
      </c>
      <c r="F177" s="47" t="s">
        <v>384</v>
      </c>
      <c r="G177" s="21">
        <v>77.42</v>
      </c>
      <c r="H177" s="21">
        <v>19.63</v>
      </c>
      <c r="I177" s="21">
        <v>2.11</v>
      </c>
      <c r="J177" s="21">
        <v>0.84</v>
      </c>
      <c r="K177" s="21"/>
    </row>
    <row r="178" ht="15.75" customHeight="1">
      <c r="F178" s="47" t="s">
        <v>385</v>
      </c>
      <c r="G178" s="21">
        <v>58.52</v>
      </c>
      <c r="H178" s="21">
        <v>33.57</v>
      </c>
      <c r="I178" s="21">
        <v>6.34</v>
      </c>
      <c r="J178" s="21">
        <v>1.57</v>
      </c>
      <c r="K178" s="21"/>
    </row>
    <row r="179" ht="15.75" customHeight="1">
      <c r="A179" s="11" t="s">
        <v>386</v>
      </c>
      <c r="B179" s="11" t="s">
        <v>379</v>
      </c>
      <c r="C179" s="11">
        <v>1539.74871</v>
      </c>
      <c r="D179" s="11">
        <v>76.91</v>
      </c>
      <c r="E179" s="11">
        <v>76.91</v>
      </c>
      <c r="F179" s="47" t="s">
        <v>387</v>
      </c>
      <c r="G179" s="21">
        <v>47.37</v>
      </c>
      <c r="H179" s="21">
        <v>38.96</v>
      </c>
      <c r="I179" s="21">
        <v>9.75</v>
      </c>
      <c r="J179" s="21">
        <v>3.92</v>
      </c>
      <c r="K179" s="21"/>
    </row>
    <row r="180" ht="15.75" customHeight="1">
      <c r="A180" s="11" t="s">
        <v>388</v>
      </c>
      <c r="B180" s="11" t="s">
        <v>380</v>
      </c>
      <c r="C180" s="11">
        <v>403.76317</v>
      </c>
      <c r="D180" s="11">
        <v>20.17</v>
      </c>
      <c r="E180" s="11">
        <v>97.08</v>
      </c>
      <c r="F180" s="47" t="s">
        <v>389</v>
      </c>
      <c r="G180" s="21">
        <v>2.33</v>
      </c>
      <c r="H180" s="21">
        <v>15.72</v>
      </c>
      <c r="I180" s="21">
        <v>43.48</v>
      </c>
      <c r="J180" s="21">
        <v>38.46</v>
      </c>
      <c r="K180" s="21"/>
    </row>
    <row r="181" ht="15.75" customHeight="1">
      <c r="A181" s="11" t="s">
        <v>390</v>
      </c>
      <c r="B181" s="11" t="s">
        <v>381</v>
      </c>
      <c r="C181" s="11">
        <v>42.0010918</v>
      </c>
      <c r="D181" s="11">
        <v>2.1</v>
      </c>
      <c r="E181" s="11">
        <v>99.18</v>
      </c>
      <c r="F181" s="47" t="s">
        <v>391</v>
      </c>
      <c r="G181" s="21">
        <v>72.26</v>
      </c>
      <c r="H181" s="21">
        <v>23.72</v>
      </c>
      <c r="I181" s="21">
        <v>3.0</v>
      </c>
      <c r="J181" s="21">
        <v>1.03</v>
      </c>
      <c r="K181" s="21"/>
    </row>
    <row r="182" ht="15.75" customHeight="1">
      <c r="A182" s="11" t="s">
        <v>392</v>
      </c>
      <c r="B182" s="11" t="s">
        <v>382</v>
      </c>
      <c r="C182" s="11">
        <v>16.4870308</v>
      </c>
      <c r="D182" s="11">
        <v>0.82</v>
      </c>
      <c r="E182" s="11">
        <v>100.0</v>
      </c>
      <c r="F182" s="47" t="s">
        <v>393</v>
      </c>
      <c r="G182" s="21">
        <v>2.37</v>
      </c>
      <c r="H182" s="21">
        <v>15.94</v>
      </c>
      <c r="I182" s="21">
        <v>43.18</v>
      </c>
      <c r="J182" s="21">
        <v>38.52</v>
      </c>
      <c r="K182" s="21"/>
    </row>
    <row r="183" ht="15.75" customHeight="1">
      <c r="F183" s="47" t="s">
        <v>394</v>
      </c>
      <c r="G183" s="21">
        <v>61.84</v>
      </c>
      <c r="H183" s="21">
        <v>34.67</v>
      </c>
      <c r="I183" s="21">
        <v>2.94</v>
      </c>
      <c r="J183" s="21">
        <v>0.56</v>
      </c>
      <c r="K183" s="21"/>
    </row>
    <row r="184" ht="15.75" customHeight="1">
      <c r="B184" s="11" t="s">
        <v>32</v>
      </c>
      <c r="C184" s="11">
        <v>2002.0</v>
      </c>
      <c r="D184" s="11">
        <v>100.0</v>
      </c>
      <c r="F184" s="47" t="s">
        <v>395</v>
      </c>
      <c r="G184" s="21">
        <v>60.6</v>
      </c>
      <c r="H184" s="21">
        <v>35.02</v>
      </c>
      <c r="I184" s="21">
        <v>3.63</v>
      </c>
      <c r="J184" s="21">
        <v>0.75</v>
      </c>
      <c r="K184" s="21"/>
    </row>
    <row r="185" ht="15.75" customHeight="1"/>
    <row r="186" ht="15.75" customHeight="1">
      <c r="A186" s="11" t="s">
        <v>396</v>
      </c>
      <c r="F186" s="18" t="s">
        <v>397</v>
      </c>
    </row>
    <row r="187" ht="15.75" customHeight="1">
      <c r="A187" s="11" t="s">
        <v>398</v>
      </c>
      <c r="B187" s="11" t="s">
        <v>23</v>
      </c>
      <c r="C187" s="11" t="s">
        <v>24</v>
      </c>
      <c r="D187" s="11" t="s">
        <v>25</v>
      </c>
    </row>
    <row r="188" ht="15.75" customHeight="1"/>
    <row r="189" ht="15.75" customHeight="1">
      <c r="A189" s="11" t="s">
        <v>379</v>
      </c>
      <c r="B189" s="11">
        <v>1161.95744</v>
      </c>
      <c r="C189" s="11">
        <v>57.84</v>
      </c>
      <c r="D189" s="11">
        <v>57.84</v>
      </c>
    </row>
    <row r="190" ht="15.75" customHeight="1">
      <c r="A190" s="11" t="s">
        <v>380</v>
      </c>
      <c r="B190" s="11">
        <v>682.492932</v>
      </c>
      <c r="C190" s="11">
        <v>33.97</v>
      </c>
      <c r="D190" s="11">
        <v>91.81</v>
      </c>
    </row>
    <row r="191" ht="15.75" customHeight="1">
      <c r="A191" s="11" t="s">
        <v>381</v>
      </c>
      <c r="B191" s="11">
        <v>134.48371</v>
      </c>
      <c r="C191" s="11">
        <v>6.69</v>
      </c>
      <c r="D191" s="11">
        <v>98.5</v>
      </c>
    </row>
    <row r="192" ht="15.75" customHeight="1">
      <c r="A192" s="11" t="s">
        <v>382</v>
      </c>
      <c r="B192" s="11">
        <v>30.0659142</v>
      </c>
      <c r="C192" s="11">
        <v>1.5</v>
      </c>
      <c r="D192" s="11">
        <v>100.0</v>
      </c>
    </row>
    <row r="193" ht="15.75" customHeight="1"/>
    <row r="194" ht="15.75" customHeight="1">
      <c r="A194" s="11" t="s">
        <v>32</v>
      </c>
      <c r="B194" s="11">
        <v>2009.0</v>
      </c>
      <c r="C194" s="11">
        <v>100.0</v>
      </c>
    </row>
    <row r="195" ht="15.75" customHeight="1"/>
    <row r="196" ht="15.75" customHeight="1">
      <c r="A196" s="11" t="s">
        <v>399</v>
      </c>
    </row>
    <row r="197" ht="15.75" customHeight="1">
      <c r="A197" s="11" t="s">
        <v>400</v>
      </c>
      <c r="B197" s="11" t="s">
        <v>23</v>
      </c>
      <c r="C197" s="11" t="s">
        <v>24</v>
      </c>
      <c r="D197" s="11" t="s">
        <v>25</v>
      </c>
    </row>
    <row r="198" ht="15.75" customHeight="1"/>
    <row r="199" ht="15.75" customHeight="1">
      <c r="A199" s="11" t="s">
        <v>379</v>
      </c>
      <c r="B199" s="11">
        <v>964.310902</v>
      </c>
      <c r="C199" s="11">
        <v>48.05</v>
      </c>
      <c r="D199" s="11">
        <v>48.05</v>
      </c>
    </row>
    <row r="200" ht="15.75" customHeight="1">
      <c r="A200" s="11" t="s">
        <v>380</v>
      </c>
      <c r="B200" s="11">
        <v>780.269448</v>
      </c>
      <c r="C200" s="11">
        <v>38.88</v>
      </c>
      <c r="D200" s="11">
        <v>86.92</v>
      </c>
    </row>
    <row r="201" ht="15.75" customHeight="1">
      <c r="A201" s="11" t="s">
        <v>381</v>
      </c>
      <c r="B201" s="11">
        <v>188.938453</v>
      </c>
      <c r="C201" s="11">
        <v>9.41</v>
      </c>
      <c r="D201" s="11">
        <v>96.34</v>
      </c>
    </row>
    <row r="202" ht="15.75" customHeight="1">
      <c r="A202" s="11" t="s">
        <v>382</v>
      </c>
      <c r="B202" s="11">
        <v>73.4811969</v>
      </c>
      <c r="C202" s="11">
        <v>3.66</v>
      </c>
      <c r="D202" s="11">
        <v>100.0</v>
      </c>
    </row>
    <row r="203" ht="15.75" customHeight="1"/>
    <row r="204" ht="15.75" customHeight="1">
      <c r="A204" s="11" t="s">
        <v>32</v>
      </c>
      <c r="B204" s="11">
        <v>2007.0</v>
      </c>
      <c r="C204" s="11">
        <v>100.0</v>
      </c>
    </row>
    <row r="205" ht="15.75" customHeight="1"/>
    <row r="206" ht="15.75" customHeight="1">
      <c r="A206" s="11" t="s">
        <v>401</v>
      </c>
      <c r="B206" s="11" t="s">
        <v>23</v>
      </c>
      <c r="C206" s="11" t="s">
        <v>24</v>
      </c>
      <c r="D206" s="11" t="s">
        <v>25</v>
      </c>
    </row>
    <row r="207" ht="15.75" customHeight="1"/>
    <row r="208" ht="15.75" customHeight="1">
      <c r="A208" s="11" t="s">
        <v>379</v>
      </c>
      <c r="B208" s="11">
        <v>45.5534456</v>
      </c>
      <c r="C208" s="11">
        <v>2.28</v>
      </c>
      <c r="D208" s="11">
        <v>2.28</v>
      </c>
    </row>
    <row r="209" ht="15.75" customHeight="1">
      <c r="A209" s="11" t="s">
        <v>380</v>
      </c>
      <c r="B209" s="11">
        <v>326.4022</v>
      </c>
      <c r="C209" s="11">
        <v>16.31</v>
      </c>
      <c r="D209" s="11">
        <v>18.59</v>
      </c>
    </row>
    <row r="210" ht="15.75" customHeight="1">
      <c r="A210" s="11" t="s">
        <v>381</v>
      </c>
      <c r="B210" s="11">
        <v>851.591852</v>
      </c>
      <c r="C210" s="11">
        <v>42.56</v>
      </c>
      <c r="D210" s="11">
        <v>61.15</v>
      </c>
    </row>
    <row r="211" ht="15.75" customHeight="1">
      <c r="A211" s="11" t="s">
        <v>382</v>
      </c>
      <c r="B211" s="11">
        <v>777.4525022</v>
      </c>
      <c r="C211" s="11">
        <v>38.85</v>
      </c>
      <c r="D211" s="11">
        <v>100.0</v>
      </c>
    </row>
    <row r="212" ht="15.75" customHeight="1"/>
    <row r="213" ht="15.75" customHeight="1">
      <c r="A213" s="11" t="s">
        <v>32</v>
      </c>
      <c r="B213" s="11">
        <v>2001.0</v>
      </c>
      <c r="C213" s="11">
        <v>100.0</v>
      </c>
    </row>
    <row r="214" ht="15.75" customHeight="1"/>
    <row r="215" ht="15.75" customHeight="1"/>
    <row r="216" ht="15.75" customHeight="1">
      <c r="A216" s="11" t="s">
        <v>402</v>
      </c>
    </row>
    <row r="217" ht="15.75" customHeight="1">
      <c r="A217" s="11" t="s">
        <v>383</v>
      </c>
      <c r="B217" s="11" t="s">
        <v>23</v>
      </c>
      <c r="C217" s="11" t="s">
        <v>24</v>
      </c>
      <c r="D217" s="11" t="s">
        <v>25</v>
      </c>
    </row>
    <row r="218" ht="15.75" customHeight="1"/>
    <row r="219" ht="15.75" customHeight="1">
      <c r="A219" s="11" t="s">
        <v>379</v>
      </c>
      <c r="B219" s="11">
        <v>1455.45032</v>
      </c>
      <c r="C219" s="11">
        <v>72.41</v>
      </c>
      <c r="D219" s="11">
        <v>72.41</v>
      </c>
    </row>
    <row r="220" ht="15.75" customHeight="1">
      <c r="A220" s="11" t="s">
        <v>380</v>
      </c>
      <c r="B220" s="11">
        <v>471.677513</v>
      </c>
      <c r="C220" s="11">
        <v>23.47</v>
      </c>
      <c r="D220" s="11">
        <v>95.88</v>
      </c>
    </row>
    <row r="221" ht="15.75" customHeight="1">
      <c r="A221" s="11" t="s">
        <v>381</v>
      </c>
      <c r="B221" s="11">
        <v>63.5741505</v>
      </c>
      <c r="C221" s="11">
        <v>3.16</v>
      </c>
      <c r="D221" s="11">
        <v>99.04</v>
      </c>
    </row>
    <row r="222" ht="15.75" customHeight="1">
      <c r="A222" s="11" t="s">
        <v>382</v>
      </c>
      <c r="B222" s="11">
        <v>19.29801912</v>
      </c>
      <c r="C222" s="11">
        <v>0.96</v>
      </c>
      <c r="D222" s="11">
        <v>100.0</v>
      </c>
    </row>
    <row r="223" ht="15.75" customHeight="1"/>
    <row r="224" ht="15.75" customHeight="1">
      <c r="A224" s="11" t="s">
        <v>32</v>
      </c>
      <c r="B224" s="11">
        <v>2010.0</v>
      </c>
      <c r="C224" s="11">
        <v>100.0</v>
      </c>
    </row>
    <row r="225" ht="15.75" customHeight="1"/>
    <row r="226" ht="15.75" customHeight="1"/>
    <row r="227" ht="15.75" customHeight="1">
      <c r="A227" s="11" t="s">
        <v>403</v>
      </c>
    </row>
    <row r="228" ht="15.75" customHeight="1">
      <c r="A228" s="11" t="s">
        <v>383</v>
      </c>
      <c r="B228" s="11" t="s">
        <v>23</v>
      </c>
      <c r="C228" s="11" t="s">
        <v>24</v>
      </c>
      <c r="D228" s="11" t="s">
        <v>25</v>
      </c>
    </row>
    <row r="229" ht="15.75" customHeight="1"/>
    <row r="230" ht="15.75" customHeight="1">
      <c r="A230" s="11" t="s">
        <v>379</v>
      </c>
      <c r="B230" s="11">
        <v>41.6247973</v>
      </c>
      <c r="C230" s="11">
        <v>2.08</v>
      </c>
      <c r="D230" s="11">
        <v>2.08</v>
      </c>
    </row>
    <row r="231" ht="15.75" customHeight="1">
      <c r="A231" s="11" t="s">
        <v>380</v>
      </c>
      <c r="B231" s="11">
        <v>328.027546</v>
      </c>
      <c r="C231" s="11">
        <v>16.4</v>
      </c>
      <c r="D231" s="11">
        <v>18.48</v>
      </c>
    </row>
    <row r="232" ht="15.75" customHeight="1">
      <c r="A232" s="11" t="s">
        <v>381</v>
      </c>
      <c r="B232" s="11">
        <v>857.657206</v>
      </c>
      <c r="C232" s="11">
        <v>42.88</v>
      </c>
      <c r="D232" s="11">
        <v>61.37</v>
      </c>
    </row>
    <row r="233" ht="15.75" customHeight="1">
      <c r="A233" s="11" t="s">
        <v>382</v>
      </c>
      <c r="B233" s="11">
        <v>772.6904502</v>
      </c>
      <c r="C233" s="11">
        <v>38.63</v>
      </c>
      <c r="D233" s="11">
        <v>100.0</v>
      </c>
    </row>
    <row r="234" ht="15.75" customHeight="1"/>
    <row r="235" ht="15.75" customHeight="1">
      <c r="A235" s="11" t="s">
        <v>32</v>
      </c>
      <c r="B235" s="11">
        <v>2000.0</v>
      </c>
      <c r="C235" s="11">
        <v>100.0</v>
      </c>
    </row>
    <row r="236" ht="15.75" customHeight="1"/>
    <row r="237" ht="15.75" customHeight="1">
      <c r="A237" s="11" t="s">
        <v>404</v>
      </c>
      <c r="B237" s="11" t="s">
        <v>23</v>
      </c>
      <c r="C237" s="11" t="s">
        <v>24</v>
      </c>
      <c r="D237" s="11" t="s">
        <v>25</v>
      </c>
    </row>
    <row r="238" ht="15.75" customHeight="1"/>
    <row r="239" ht="15.75" customHeight="1">
      <c r="A239" s="11" t="s">
        <v>379</v>
      </c>
      <c r="B239" s="11">
        <v>1234.7029</v>
      </c>
      <c r="C239" s="11">
        <v>61.61</v>
      </c>
      <c r="D239" s="11">
        <v>61.61</v>
      </c>
    </row>
    <row r="240" ht="15.75" customHeight="1">
      <c r="A240" s="11" t="s">
        <v>380</v>
      </c>
      <c r="B240" s="11">
        <v>701.181938</v>
      </c>
      <c r="C240" s="11">
        <v>34.99</v>
      </c>
      <c r="D240" s="11">
        <v>96.6</v>
      </c>
    </row>
    <row r="241" ht="15.75" customHeight="1">
      <c r="A241" s="11" t="s">
        <v>381</v>
      </c>
      <c r="B241" s="11">
        <v>58.9668291</v>
      </c>
      <c r="C241" s="11">
        <v>2.94</v>
      </c>
      <c r="D241" s="11">
        <v>99.54</v>
      </c>
    </row>
    <row r="242" ht="15.75" customHeight="1">
      <c r="A242" s="11" t="s">
        <v>382</v>
      </c>
      <c r="B242" s="11">
        <v>9.14833315</v>
      </c>
      <c r="C242" s="11">
        <v>0.46</v>
      </c>
      <c r="D242" s="11">
        <v>100.0</v>
      </c>
    </row>
    <row r="243" ht="15.75" customHeight="1"/>
    <row r="244" ht="15.75" customHeight="1">
      <c r="A244" s="11" t="s">
        <v>32</v>
      </c>
      <c r="B244" s="11">
        <v>2004.0</v>
      </c>
      <c r="C244" s="11">
        <v>100.0</v>
      </c>
    </row>
    <row r="245" ht="15.75" customHeight="1"/>
    <row r="246" ht="15.75" customHeight="1">
      <c r="A246" s="11" t="s">
        <v>405</v>
      </c>
    </row>
    <row r="247" ht="15.75" customHeight="1">
      <c r="A247" s="11" t="s">
        <v>400</v>
      </c>
      <c r="B247" s="11" t="s">
        <v>23</v>
      </c>
      <c r="C247" s="11" t="s">
        <v>24</v>
      </c>
      <c r="D247" s="11" t="s">
        <v>25</v>
      </c>
    </row>
    <row r="248" ht="15.75" customHeight="1"/>
    <row r="249" ht="15.75" customHeight="1">
      <c r="A249" s="11" t="s">
        <v>379</v>
      </c>
      <c r="B249" s="11">
        <v>1205.7946</v>
      </c>
      <c r="C249" s="11">
        <v>60.29</v>
      </c>
      <c r="D249" s="11">
        <v>60.29</v>
      </c>
    </row>
    <row r="250" ht="15.75" customHeight="1">
      <c r="A250" s="11" t="s">
        <v>380</v>
      </c>
      <c r="B250" s="11">
        <v>704.43882</v>
      </c>
      <c r="C250" s="11">
        <v>35.22</v>
      </c>
      <c r="D250" s="11">
        <v>95.51</v>
      </c>
    </row>
    <row r="251" ht="15.75" customHeight="1">
      <c r="A251" s="11" t="s">
        <v>381</v>
      </c>
      <c r="B251" s="11">
        <v>76.4525734</v>
      </c>
      <c r="C251" s="11">
        <v>3.82</v>
      </c>
      <c r="D251" s="11">
        <v>99.33</v>
      </c>
    </row>
    <row r="252" ht="15.75" customHeight="1">
      <c r="A252" s="11" t="s">
        <v>382</v>
      </c>
      <c r="B252" s="11">
        <v>13.3140093</v>
      </c>
      <c r="C252" s="11">
        <v>0.67</v>
      </c>
      <c r="D252" s="11">
        <v>100.0</v>
      </c>
    </row>
    <row r="253" ht="15.75" customHeight="1"/>
    <row r="254" ht="15.75" customHeight="1">
      <c r="A254" s="11" t="s">
        <v>32</v>
      </c>
      <c r="B254" s="11">
        <v>2000.0</v>
      </c>
      <c r="C254" s="11">
        <v>100.0</v>
      </c>
    </row>
    <row r="255" ht="15.75" customHeight="1"/>
    <row r="256" ht="15.75" customHeight="1">
      <c r="A256" s="30" t="s">
        <v>406</v>
      </c>
    </row>
    <row r="257" ht="15.75" customHeight="1">
      <c r="A257" s="11" t="s">
        <v>407</v>
      </c>
    </row>
    <row r="258" ht="15.75" customHeight="1">
      <c r="A258" s="11" t="s">
        <v>90</v>
      </c>
      <c r="F258" s="11" t="s">
        <v>408</v>
      </c>
      <c r="G258" s="21">
        <v>6.88</v>
      </c>
    </row>
    <row r="259" ht="15.75" customHeight="1">
      <c r="A259" s="11" t="s">
        <v>409</v>
      </c>
      <c r="F259" s="11" t="s">
        <v>410</v>
      </c>
      <c r="G259" s="21">
        <v>6.2</v>
      </c>
    </row>
    <row r="260" ht="15.75" customHeight="1">
      <c r="A260" s="11" t="s">
        <v>411</v>
      </c>
      <c r="F260" s="11" t="s">
        <v>412</v>
      </c>
      <c r="G260" s="21">
        <v>3.38</v>
      </c>
    </row>
    <row r="261" ht="15.75" customHeight="1">
      <c r="A261" s="11" t="s">
        <v>413</v>
      </c>
      <c r="F261" s="11" t="s">
        <v>414</v>
      </c>
      <c r="G261" s="21">
        <v>3.12</v>
      </c>
    </row>
    <row r="262" ht="15.75" customHeight="1">
      <c r="A262" s="11" t="s">
        <v>415</v>
      </c>
      <c r="F262" s="11" t="s">
        <v>416</v>
      </c>
      <c r="G262" s="21">
        <v>2.44</v>
      </c>
    </row>
    <row r="263" ht="15.75" customHeight="1">
      <c r="A263" s="11" t="s">
        <v>417</v>
      </c>
      <c r="F263" s="11" t="s">
        <v>418</v>
      </c>
      <c r="G263" s="21">
        <v>1.98</v>
      </c>
    </row>
    <row r="264" ht="15.75" customHeight="1">
      <c r="A264" s="11" t="s">
        <v>419</v>
      </c>
      <c r="B264" s="11" t="s">
        <v>23</v>
      </c>
      <c r="C264" s="11" t="s">
        <v>24</v>
      </c>
      <c r="D264" s="11" t="s">
        <v>25</v>
      </c>
      <c r="F264" s="11" t="s">
        <v>420</v>
      </c>
      <c r="G264" s="21">
        <v>1.79</v>
      </c>
    </row>
    <row r="265" ht="15.75" customHeight="1">
      <c r="F265" s="11" t="s">
        <v>421</v>
      </c>
      <c r="G265" s="21">
        <v>1.35</v>
      </c>
    </row>
    <row r="266" ht="15.75" customHeight="1">
      <c r="A266" s="11" t="s">
        <v>340</v>
      </c>
      <c r="B266" s="11">
        <v>1878.24773</v>
      </c>
      <c r="C266" s="11">
        <v>93.12</v>
      </c>
      <c r="D266" s="11">
        <v>93.12</v>
      </c>
    </row>
    <row r="267" ht="15.75" customHeight="1">
      <c r="A267" s="11" t="s">
        <v>342</v>
      </c>
      <c r="B267" s="11">
        <v>138.752268</v>
      </c>
      <c r="C267" s="11">
        <v>6.88</v>
      </c>
      <c r="D267" s="11">
        <v>100.0</v>
      </c>
      <c r="F267" s="18" t="s">
        <v>422</v>
      </c>
    </row>
    <row r="268" ht="15.75" customHeight="1"/>
    <row r="269" ht="15.75" customHeight="1">
      <c r="A269" s="11" t="s">
        <v>32</v>
      </c>
      <c r="B269" s="11">
        <v>2017.0</v>
      </c>
      <c r="C269" s="11">
        <v>100.0</v>
      </c>
    </row>
    <row r="270" ht="15.75" customHeight="1"/>
    <row r="271" ht="15.75" customHeight="1">
      <c r="A271" s="11" t="s">
        <v>407</v>
      </c>
    </row>
    <row r="272" ht="15.75" customHeight="1">
      <c r="A272" s="11" t="s">
        <v>90</v>
      </c>
    </row>
    <row r="273" ht="15.75" customHeight="1">
      <c r="A273" s="11" t="s">
        <v>409</v>
      </c>
    </row>
    <row r="274" ht="15.75" customHeight="1">
      <c r="A274" s="11" t="s">
        <v>423</v>
      </c>
    </row>
    <row r="275" ht="15.75" customHeight="1">
      <c r="A275" s="11" t="s">
        <v>424</v>
      </c>
    </row>
    <row r="276" ht="15.75" customHeight="1">
      <c r="A276" s="11" t="s">
        <v>425</v>
      </c>
    </row>
    <row r="277" ht="15.75" customHeight="1">
      <c r="A277" s="11" t="s">
        <v>426</v>
      </c>
      <c r="B277" s="11" t="s">
        <v>23</v>
      </c>
      <c r="C277" s="11" t="s">
        <v>24</v>
      </c>
      <c r="D277" s="11" t="s">
        <v>25</v>
      </c>
    </row>
    <row r="278" ht="15.75" customHeight="1"/>
    <row r="279" ht="15.75" customHeight="1">
      <c r="A279" s="11" t="s">
        <v>340</v>
      </c>
      <c r="B279" s="11">
        <v>1892.01583</v>
      </c>
      <c r="C279" s="11">
        <v>93.8</v>
      </c>
      <c r="D279" s="11">
        <v>93.8</v>
      </c>
    </row>
    <row r="280" ht="15.75" customHeight="1">
      <c r="A280" s="11" t="s">
        <v>342</v>
      </c>
      <c r="B280" s="11">
        <v>124.984171</v>
      </c>
      <c r="C280" s="11">
        <v>6.2</v>
      </c>
      <c r="D280" s="11">
        <v>100.0</v>
      </c>
    </row>
    <row r="281" ht="15.75" customHeight="1"/>
    <row r="282" ht="15.75" customHeight="1">
      <c r="A282" s="11" t="s">
        <v>32</v>
      </c>
      <c r="B282" s="11">
        <v>2017.0</v>
      </c>
      <c r="C282" s="11">
        <v>100.0</v>
      </c>
    </row>
    <row r="283" ht="15.75" customHeight="1"/>
    <row r="284" ht="15.75" customHeight="1">
      <c r="A284" s="11" t="s">
        <v>407</v>
      </c>
    </row>
    <row r="285" ht="15.75" customHeight="1">
      <c r="A285" s="11" t="s">
        <v>90</v>
      </c>
    </row>
    <row r="286" ht="15.75" customHeight="1">
      <c r="A286" s="11" t="s">
        <v>409</v>
      </c>
    </row>
    <row r="287" ht="15.75" customHeight="1">
      <c r="A287" s="11" t="s">
        <v>427</v>
      </c>
    </row>
    <row r="288" ht="15.75" customHeight="1">
      <c r="A288" s="11" t="s">
        <v>428</v>
      </c>
    </row>
    <row r="289" ht="15.75" customHeight="1">
      <c r="A289" s="11" t="s">
        <v>429</v>
      </c>
    </row>
    <row r="290" ht="15.75" customHeight="1">
      <c r="A290" s="11" t="s">
        <v>430</v>
      </c>
      <c r="B290" s="11" t="s">
        <v>23</v>
      </c>
      <c r="C290" s="11" t="s">
        <v>24</v>
      </c>
      <c r="D290" s="11" t="s">
        <v>25</v>
      </c>
    </row>
    <row r="291" ht="15.75" customHeight="1"/>
    <row r="292" ht="15.75" customHeight="1">
      <c r="A292" s="11" t="s">
        <v>340</v>
      </c>
      <c r="B292" s="11">
        <v>1989.85126</v>
      </c>
      <c r="C292" s="11">
        <v>98.65</v>
      </c>
      <c r="D292" s="11">
        <v>98.65</v>
      </c>
    </row>
    <row r="293" ht="15.75" customHeight="1">
      <c r="A293" s="11" t="s">
        <v>342</v>
      </c>
      <c r="B293" s="11">
        <v>27.1487436</v>
      </c>
      <c r="C293" s="11">
        <v>1.35</v>
      </c>
      <c r="D293" s="11">
        <v>100.0</v>
      </c>
    </row>
    <row r="294" ht="15.75" customHeight="1"/>
    <row r="295" ht="15.75" customHeight="1">
      <c r="A295" s="11" t="s">
        <v>32</v>
      </c>
      <c r="B295" s="11">
        <v>2017.0</v>
      </c>
      <c r="C295" s="11">
        <v>100.0</v>
      </c>
    </row>
    <row r="296" ht="15.75" customHeight="1"/>
    <row r="297" ht="15.75" customHeight="1">
      <c r="A297" s="11" t="s">
        <v>407</v>
      </c>
    </row>
    <row r="298" ht="15.75" customHeight="1">
      <c r="A298" s="11" t="s">
        <v>90</v>
      </c>
    </row>
    <row r="299" ht="15.75" customHeight="1">
      <c r="A299" s="11" t="s">
        <v>409</v>
      </c>
    </row>
    <row r="300" ht="15.75" customHeight="1">
      <c r="A300" s="11" t="s">
        <v>431</v>
      </c>
    </row>
    <row r="301" ht="15.75" customHeight="1">
      <c r="A301" s="11" t="s">
        <v>432</v>
      </c>
    </row>
    <row r="302" ht="15.75" customHeight="1">
      <c r="A302" s="11" t="s">
        <v>433</v>
      </c>
      <c r="B302" s="11" t="s">
        <v>23</v>
      </c>
      <c r="C302" s="11" t="s">
        <v>24</v>
      </c>
      <c r="D302" s="11" t="s">
        <v>25</v>
      </c>
    </row>
    <row r="303" ht="15.75" customHeight="1"/>
    <row r="304" ht="15.75" customHeight="1">
      <c r="A304" s="11" t="s">
        <v>340</v>
      </c>
      <c r="B304" s="11">
        <v>1980.861889</v>
      </c>
      <c r="C304" s="11">
        <v>98.21</v>
      </c>
      <c r="D304" s="11">
        <v>98.21</v>
      </c>
    </row>
    <row r="305" ht="15.75" customHeight="1">
      <c r="A305" s="11" t="s">
        <v>342</v>
      </c>
      <c r="B305" s="11">
        <v>36.138111</v>
      </c>
      <c r="C305" s="11">
        <v>1.79</v>
      </c>
      <c r="D305" s="11">
        <v>100.0</v>
      </c>
    </row>
    <row r="306" ht="15.75" customHeight="1"/>
    <row r="307" ht="15.75" customHeight="1">
      <c r="A307" s="11" t="s">
        <v>32</v>
      </c>
      <c r="B307" s="11">
        <v>2017.0</v>
      </c>
      <c r="C307" s="11">
        <v>100.0</v>
      </c>
    </row>
    <row r="308" ht="15.75" customHeight="1"/>
    <row r="309" ht="15.75" customHeight="1"/>
    <row r="310" ht="15.75" customHeight="1">
      <c r="A310" s="11" t="s">
        <v>407</v>
      </c>
    </row>
    <row r="311" ht="15.75" customHeight="1">
      <c r="A311" s="11" t="s">
        <v>90</v>
      </c>
    </row>
    <row r="312" ht="15.75" customHeight="1">
      <c r="A312" s="11" t="s">
        <v>409</v>
      </c>
    </row>
    <row r="313" ht="15.75" customHeight="1">
      <c r="A313" s="11" t="s">
        <v>434</v>
      </c>
    </row>
    <row r="314" ht="15.75" customHeight="1">
      <c r="A314" s="11" t="s">
        <v>435</v>
      </c>
    </row>
    <row r="315" ht="15.75" customHeight="1">
      <c r="A315" s="11" t="s">
        <v>436</v>
      </c>
      <c r="B315" s="11" t="s">
        <v>23</v>
      </c>
      <c r="C315" s="11" t="s">
        <v>24</v>
      </c>
      <c r="D315" s="11" t="s">
        <v>25</v>
      </c>
    </row>
    <row r="316" ht="15.75" customHeight="1"/>
    <row r="317" ht="15.75" customHeight="1">
      <c r="A317" s="11" t="s">
        <v>340</v>
      </c>
      <c r="B317" s="11">
        <v>1948.80583</v>
      </c>
      <c r="C317" s="11">
        <v>96.62</v>
      </c>
      <c r="D317" s="11">
        <v>96.62</v>
      </c>
    </row>
    <row r="318" ht="15.75" customHeight="1">
      <c r="A318" s="11" t="s">
        <v>342</v>
      </c>
      <c r="B318" s="11">
        <v>68.1941688</v>
      </c>
      <c r="C318" s="11">
        <v>3.38</v>
      </c>
      <c r="D318" s="11">
        <v>100.0</v>
      </c>
    </row>
    <row r="319" ht="15.75" customHeight="1"/>
    <row r="320" ht="15.75" customHeight="1">
      <c r="A320" s="11" t="s">
        <v>32</v>
      </c>
      <c r="B320" s="11">
        <v>2017.0</v>
      </c>
      <c r="C320" s="11">
        <v>100.0</v>
      </c>
    </row>
    <row r="321" ht="15.75" customHeight="1"/>
    <row r="322" ht="15.75" customHeight="1">
      <c r="A322" s="11" t="s">
        <v>407</v>
      </c>
    </row>
    <row r="323" ht="15.75" customHeight="1">
      <c r="A323" s="11" t="s">
        <v>90</v>
      </c>
    </row>
    <row r="324" ht="15.75" customHeight="1">
      <c r="A324" s="11" t="s">
        <v>409</v>
      </c>
    </row>
    <row r="325" ht="15.75" customHeight="1">
      <c r="A325" s="11" t="s">
        <v>434</v>
      </c>
    </row>
    <row r="326" ht="15.75" customHeight="1">
      <c r="A326" s="11" t="s">
        <v>437</v>
      </c>
    </row>
    <row r="327" ht="15.75" customHeight="1">
      <c r="A327" s="11" t="s">
        <v>438</v>
      </c>
    </row>
    <row r="328" ht="15.75" customHeight="1">
      <c r="A328" s="11" t="s">
        <v>437</v>
      </c>
    </row>
    <row r="329" ht="15.75" customHeight="1">
      <c r="A329" s="11" t="s">
        <v>439</v>
      </c>
      <c r="B329" s="11" t="s">
        <v>23</v>
      </c>
      <c r="C329" s="11" t="s">
        <v>24</v>
      </c>
      <c r="D329" s="11" t="s">
        <v>25</v>
      </c>
    </row>
    <row r="330" ht="15.75" customHeight="1"/>
    <row r="331" ht="15.75" customHeight="1">
      <c r="A331" s="11" t="s">
        <v>340</v>
      </c>
      <c r="B331" s="11">
        <v>1967.70289</v>
      </c>
      <c r="C331" s="11">
        <v>97.56</v>
      </c>
      <c r="D331" s="11">
        <v>97.56</v>
      </c>
    </row>
    <row r="332" ht="15.75" customHeight="1">
      <c r="A332" s="11" t="s">
        <v>342</v>
      </c>
      <c r="B332" s="11">
        <v>49.2971074</v>
      </c>
      <c r="C332" s="11">
        <v>2.44</v>
      </c>
      <c r="D332" s="11">
        <v>100.0</v>
      </c>
    </row>
    <row r="333" ht="15.75" customHeight="1"/>
    <row r="334" ht="15.75" customHeight="1">
      <c r="A334" s="11" t="s">
        <v>32</v>
      </c>
      <c r="B334" s="11">
        <v>2017.0</v>
      </c>
      <c r="C334" s="11">
        <v>100.0</v>
      </c>
    </row>
    <row r="335" ht="15.75" customHeight="1"/>
    <row r="336" ht="15.75" customHeight="1"/>
    <row r="337" ht="15.75" customHeight="1">
      <c r="A337" s="11" t="s">
        <v>407</v>
      </c>
    </row>
    <row r="338" ht="15.75" customHeight="1">
      <c r="A338" s="11" t="s">
        <v>90</v>
      </c>
    </row>
    <row r="339" ht="15.75" customHeight="1">
      <c r="A339" s="11" t="s">
        <v>409</v>
      </c>
    </row>
    <row r="340" ht="15.75" customHeight="1">
      <c r="A340" s="11" t="s">
        <v>440</v>
      </c>
      <c r="B340" s="11" t="s">
        <v>23</v>
      </c>
      <c r="C340" s="11" t="s">
        <v>24</v>
      </c>
      <c r="D340" s="11" t="s">
        <v>25</v>
      </c>
    </row>
    <row r="341" ht="15.75" customHeight="1"/>
    <row r="342" ht="15.75" customHeight="1">
      <c r="A342" s="11" t="s">
        <v>340</v>
      </c>
      <c r="B342" s="11">
        <v>1977.16015</v>
      </c>
      <c r="C342" s="11">
        <v>98.02</v>
      </c>
      <c r="D342" s="11">
        <v>98.02</v>
      </c>
    </row>
    <row r="343" ht="15.75" customHeight="1">
      <c r="A343" s="11" t="s">
        <v>342</v>
      </c>
      <c r="B343" s="11">
        <v>39.8398514</v>
      </c>
      <c r="C343" s="11">
        <v>1.98</v>
      </c>
      <c r="D343" s="11">
        <v>100.0</v>
      </c>
    </row>
    <row r="344" ht="15.75" customHeight="1"/>
    <row r="345" ht="15.75" customHeight="1">
      <c r="A345" s="11" t="s">
        <v>32</v>
      </c>
      <c r="B345" s="11">
        <v>2017.0</v>
      </c>
      <c r="C345" s="11">
        <v>100.0</v>
      </c>
    </row>
    <row r="346" ht="15.75" customHeight="1"/>
    <row r="347" ht="15.75" customHeight="1"/>
    <row r="348" ht="15.75" customHeight="1"/>
    <row r="349" ht="15.75" customHeight="1">
      <c r="A349" s="11" t="s">
        <v>407</v>
      </c>
    </row>
    <row r="350" ht="15.75" customHeight="1">
      <c r="A350" s="11" t="s">
        <v>90</v>
      </c>
    </row>
    <row r="351" ht="15.75" customHeight="1">
      <c r="A351" s="11" t="s">
        <v>409</v>
      </c>
    </row>
    <row r="352" ht="15.75" customHeight="1">
      <c r="A352" s="11" t="s">
        <v>441</v>
      </c>
    </row>
    <row r="353" ht="15.75" customHeight="1">
      <c r="A353" s="11" t="s">
        <v>442</v>
      </c>
    </row>
    <row r="354" ht="15.75" customHeight="1">
      <c r="A354" s="11" t="s">
        <v>443</v>
      </c>
      <c r="B354" s="11" t="s">
        <v>23</v>
      </c>
      <c r="C354" s="11" t="s">
        <v>24</v>
      </c>
      <c r="D354" s="11" t="s">
        <v>25</v>
      </c>
    </row>
    <row r="355" ht="15.75" customHeight="1"/>
    <row r="356" ht="15.75" customHeight="1">
      <c r="A356" s="11" t="s">
        <v>340</v>
      </c>
      <c r="B356" s="11">
        <v>1954.16406</v>
      </c>
      <c r="C356" s="11">
        <v>96.88</v>
      </c>
      <c r="D356" s="11">
        <v>96.88</v>
      </c>
    </row>
    <row r="357" ht="15.75" customHeight="1">
      <c r="A357" s="11" t="s">
        <v>342</v>
      </c>
      <c r="B357" s="11">
        <v>62.8359447</v>
      </c>
      <c r="C357" s="11">
        <v>3.12</v>
      </c>
      <c r="D357" s="11">
        <v>100.0</v>
      </c>
    </row>
    <row r="358" ht="15.75" customHeight="1"/>
    <row r="359" ht="15.75" customHeight="1">
      <c r="A359" s="11" t="s">
        <v>32</v>
      </c>
      <c r="B359" s="11">
        <v>2017.0</v>
      </c>
      <c r="C359" s="11">
        <v>100.0</v>
      </c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2:Q2"/>
    <mergeCell ref="F155:O155"/>
    <mergeCell ref="F186:O186"/>
    <mergeCell ref="F267:O26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43"/>
    <col customWidth="1" min="2" max="2" width="16.86"/>
    <col customWidth="1" min="3" max="32" width="8.71"/>
  </cols>
  <sheetData>
    <row r="1" ht="18.75" customHeight="1">
      <c r="A1" s="1" t="s">
        <v>0</v>
      </c>
      <c r="B1" s="2">
        <v>45151.0</v>
      </c>
    </row>
    <row r="2">
      <c r="A2" s="5" t="s">
        <v>444</v>
      </c>
      <c r="B2" s="6"/>
      <c r="F2" s="18" t="s">
        <v>445</v>
      </c>
    </row>
    <row r="4">
      <c r="A4" s="49" t="s">
        <v>446</v>
      </c>
      <c r="B4" s="49"/>
    </row>
    <row r="5">
      <c r="A5" s="11" t="s">
        <v>447</v>
      </c>
      <c r="B5" s="11" t="s">
        <v>23</v>
      </c>
      <c r="C5" s="11" t="s">
        <v>24</v>
      </c>
      <c r="D5" s="11" t="s">
        <v>25</v>
      </c>
    </row>
    <row r="7">
      <c r="A7" s="11" t="s">
        <v>448</v>
      </c>
      <c r="B7" s="11">
        <v>822.281783</v>
      </c>
      <c r="C7" s="27">
        <v>47.07</v>
      </c>
      <c r="D7" s="11">
        <v>47.07</v>
      </c>
    </row>
    <row r="8">
      <c r="A8" s="11" t="s">
        <v>449</v>
      </c>
      <c r="B8" s="11">
        <v>54.846641</v>
      </c>
      <c r="C8" s="27">
        <v>3.14</v>
      </c>
      <c r="D8" s="11">
        <v>50.21</v>
      </c>
    </row>
    <row r="9">
      <c r="A9" s="11" t="s">
        <v>450</v>
      </c>
      <c r="B9" s="11">
        <v>869.871576</v>
      </c>
      <c r="C9" s="27">
        <v>49.79</v>
      </c>
      <c r="D9" s="11">
        <v>100.0</v>
      </c>
    </row>
    <row r="11">
      <c r="A11" s="11" t="s">
        <v>32</v>
      </c>
      <c r="B11" s="10">
        <v>1747.0</v>
      </c>
      <c r="C11" s="11">
        <v>100.0</v>
      </c>
    </row>
    <row r="16">
      <c r="S16" s="18" t="s">
        <v>451</v>
      </c>
    </row>
    <row r="18">
      <c r="P18" s="69" t="s">
        <v>452</v>
      </c>
      <c r="Q18" s="27">
        <f>C45</f>
        <v>3.41</v>
      </c>
    </row>
    <row r="19">
      <c r="P19" s="69" t="s">
        <v>453</v>
      </c>
      <c r="Q19" s="27">
        <f>C64</f>
        <v>5.11</v>
      </c>
    </row>
    <row r="20">
      <c r="A20" s="49" t="s">
        <v>454</v>
      </c>
      <c r="P20" s="69" t="s">
        <v>455</v>
      </c>
      <c r="Q20" s="27">
        <f>C84</f>
        <v>5.57</v>
      </c>
    </row>
    <row r="21" ht="15.75" customHeight="1">
      <c r="A21" s="11" t="s">
        <v>456</v>
      </c>
      <c r="P21" s="69" t="s">
        <v>457</v>
      </c>
      <c r="Q21" s="27">
        <f>C103</f>
        <v>11.07</v>
      </c>
    </row>
    <row r="22" ht="15.75" customHeight="1">
      <c r="A22" s="11" t="s">
        <v>458</v>
      </c>
      <c r="B22" s="11" t="s">
        <v>23</v>
      </c>
      <c r="C22" s="11" t="s">
        <v>24</v>
      </c>
      <c r="D22" s="11" t="s">
        <v>25</v>
      </c>
      <c r="P22" s="69" t="s">
        <v>459</v>
      </c>
      <c r="Q22" s="27">
        <f>D125</f>
        <v>1.92</v>
      </c>
    </row>
    <row r="23" ht="15.75" customHeight="1">
      <c r="F23" s="18" t="s">
        <v>460</v>
      </c>
      <c r="P23" s="70" t="s">
        <v>461</v>
      </c>
      <c r="Q23" s="27">
        <f>D144</f>
        <v>59.46</v>
      </c>
    </row>
    <row r="24" ht="15.75" customHeight="1">
      <c r="A24" s="71" t="s">
        <v>462</v>
      </c>
      <c r="B24" s="11">
        <v>867.42614</v>
      </c>
      <c r="C24" s="27">
        <v>49.37</v>
      </c>
      <c r="D24" s="11">
        <v>49.37</v>
      </c>
    </row>
    <row r="25" ht="15.75" customHeight="1">
      <c r="A25" s="11" t="s">
        <v>463</v>
      </c>
      <c r="B25" s="11">
        <v>65.5243272</v>
      </c>
      <c r="C25" s="27">
        <v>3.73</v>
      </c>
      <c r="D25" s="11">
        <v>53.1</v>
      </c>
    </row>
    <row r="26" ht="15.75" customHeight="1">
      <c r="A26" s="11" t="s">
        <v>464</v>
      </c>
      <c r="B26" s="11">
        <v>674.603179</v>
      </c>
      <c r="C26" s="27">
        <v>38.4</v>
      </c>
      <c r="D26" s="11">
        <v>91.49</v>
      </c>
    </row>
    <row r="27" ht="15.75" customHeight="1">
      <c r="A27" s="11" t="s">
        <v>465</v>
      </c>
      <c r="B27" s="11">
        <v>149.446354</v>
      </c>
      <c r="C27" s="27">
        <v>8.51</v>
      </c>
      <c r="D27" s="11">
        <v>100.0</v>
      </c>
    </row>
    <row r="28" ht="15.75" customHeight="1"/>
    <row r="29" ht="15.75" customHeight="1">
      <c r="A29" s="11" t="s">
        <v>32</v>
      </c>
      <c r="B29" s="10">
        <v>1757.0</v>
      </c>
      <c r="C29" s="11">
        <v>100.0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49" t="s">
        <v>466</v>
      </c>
      <c r="B40" s="49"/>
    </row>
    <row r="41" ht="15.75" customHeight="1">
      <c r="F41" s="18" t="s">
        <v>467</v>
      </c>
      <c r="P41" s="8"/>
      <c r="Q41" s="8"/>
      <c r="R41" s="8"/>
      <c r="S41" s="8"/>
    </row>
    <row r="42" ht="15.75" customHeight="1">
      <c r="A42" s="11" t="s">
        <v>468</v>
      </c>
      <c r="B42" s="11" t="s">
        <v>23</v>
      </c>
      <c r="C42" s="11" t="s">
        <v>24</v>
      </c>
      <c r="D42" s="11" t="s">
        <v>25</v>
      </c>
    </row>
    <row r="43" ht="15.75" customHeight="1"/>
    <row r="44" ht="15.75" customHeight="1">
      <c r="A44" s="11" t="s">
        <v>340</v>
      </c>
      <c r="B44" s="23">
        <v>1617.859</v>
      </c>
      <c r="C44" s="27">
        <v>96.59</v>
      </c>
      <c r="D44" s="11">
        <v>96.59</v>
      </c>
    </row>
    <row r="45" ht="15.75" customHeight="1">
      <c r="A45" s="11" t="s">
        <v>342</v>
      </c>
      <c r="B45" s="11">
        <v>57.1409819</v>
      </c>
      <c r="C45" s="27">
        <v>3.41</v>
      </c>
      <c r="D45" s="11">
        <v>100.0</v>
      </c>
    </row>
    <row r="46" ht="15.75" customHeight="1"/>
    <row r="47" ht="15.75" customHeight="1">
      <c r="A47" s="11" t="s">
        <v>32</v>
      </c>
      <c r="B47" s="10">
        <v>1675.0</v>
      </c>
      <c r="C47" s="11">
        <v>100.0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49" t="s">
        <v>469</v>
      </c>
      <c r="B60" s="49"/>
    </row>
    <row r="61" ht="15.75" customHeight="1">
      <c r="A61" s="11" t="s">
        <v>470</v>
      </c>
      <c r="B61" s="11" t="s">
        <v>23</v>
      </c>
      <c r="C61" s="11" t="s">
        <v>24</v>
      </c>
      <c r="D61" s="11" t="s">
        <v>25</v>
      </c>
      <c r="F61" s="18" t="s">
        <v>471</v>
      </c>
    </row>
    <row r="62" ht="15.75" customHeight="1"/>
    <row r="63" ht="15.75" customHeight="1">
      <c r="A63" s="11" t="s">
        <v>340</v>
      </c>
      <c r="B63" s="23">
        <v>1589.4783</v>
      </c>
      <c r="C63" s="27">
        <v>94.89</v>
      </c>
      <c r="D63" s="11">
        <v>94.89</v>
      </c>
    </row>
    <row r="64" ht="15.75" customHeight="1">
      <c r="A64" s="11" t="s">
        <v>342</v>
      </c>
      <c r="B64" s="11">
        <v>85.5216574</v>
      </c>
      <c r="C64" s="27">
        <v>5.11</v>
      </c>
      <c r="D64" s="11">
        <v>100.0</v>
      </c>
    </row>
    <row r="65" ht="15.75" customHeight="1"/>
    <row r="66" ht="15.75" customHeight="1">
      <c r="A66" s="11" t="s">
        <v>32</v>
      </c>
      <c r="B66" s="10">
        <v>1675.0</v>
      </c>
      <c r="C66" s="11">
        <v>100.0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A79" s="49" t="s">
        <v>472</v>
      </c>
      <c r="B79" s="30"/>
    </row>
    <row r="80" ht="15.75" customHeight="1">
      <c r="F80" s="18" t="s">
        <v>473</v>
      </c>
    </row>
    <row r="81" ht="15.75" customHeight="1">
      <c r="A81" s="11" t="s">
        <v>470</v>
      </c>
      <c r="B81" s="11" t="s">
        <v>23</v>
      </c>
      <c r="C81" s="11" t="s">
        <v>24</v>
      </c>
      <c r="D81" s="11" t="s">
        <v>25</v>
      </c>
    </row>
    <row r="82" ht="15.75" customHeight="1"/>
    <row r="83" ht="15.75" customHeight="1">
      <c r="A83" s="11" t="s">
        <v>340</v>
      </c>
      <c r="B83" s="23">
        <v>1581.65505</v>
      </c>
      <c r="C83" s="27">
        <v>94.43</v>
      </c>
      <c r="D83" s="11">
        <v>94.43</v>
      </c>
    </row>
    <row r="84" ht="15.75" customHeight="1">
      <c r="A84" s="11" t="s">
        <v>342</v>
      </c>
      <c r="B84" s="11">
        <v>93.3449504</v>
      </c>
      <c r="C84" s="27">
        <v>5.57</v>
      </c>
      <c r="D84" s="11">
        <v>100.0</v>
      </c>
    </row>
    <row r="85" ht="15.75" customHeight="1"/>
    <row r="86" ht="15.75" customHeight="1">
      <c r="A86" s="11" t="s">
        <v>32</v>
      </c>
      <c r="B86" s="10">
        <v>1675.0</v>
      </c>
      <c r="C86" s="11">
        <v>100.0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>
      <c r="A94" s="8"/>
    </row>
    <row r="95" ht="15.75" customHeight="1"/>
    <row r="96" ht="15.75" customHeight="1"/>
    <row r="97" ht="15.75" customHeight="1"/>
    <row r="98" ht="15.75" customHeight="1">
      <c r="A98" s="49" t="s">
        <v>474</v>
      </c>
      <c r="B98" s="49"/>
    </row>
    <row r="99" ht="15.75" customHeight="1">
      <c r="F99" s="18" t="s">
        <v>475</v>
      </c>
    </row>
    <row r="100" ht="15.75" customHeight="1">
      <c r="A100" s="11" t="s">
        <v>476</v>
      </c>
      <c r="B100" s="11" t="s">
        <v>23</v>
      </c>
      <c r="C100" s="11" t="s">
        <v>24</v>
      </c>
      <c r="D100" s="11" t="s">
        <v>25</v>
      </c>
    </row>
    <row r="101" ht="15.75" customHeight="1"/>
    <row r="102" ht="15.75" customHeight="1">
      <c r="A102" s="11" t="s">
        <v>340</v>
      </c>
      <c r="B102" s="23">
        <v>1489.6586</v>
      </c>
      <c r="C102" s="27">
        <v>88.93</v>
      </c>
      <c r="D102" s="11">
        <v>88.93</v>
      </c>
    </row>
    <row r="103" ht="15.75" customHeight="1">
      <c r="A103" s="11" t="s">
        <v>342</v>
      </c>
      <c r="B103" s="11">
        <v>185.3413586</v>
      </c>
      <c r="C103" s="27">
        <v>11.07</v>
      </c>
      <c r="D103" s="11">
        <v>100.0</v>
      </c>
    </row>
    <row r="104" ht="15.75" customHeight="1"/>
    <row r="105" ht="15.75" customHeight="1">
      <c r="A105" s="11" t="s">
        <v>32</v>
      </c>
      <c r="B105" s="10">
        <v>1675.0</v>
      </c>
      <c r="C105" s="11">
        <v>100.0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>
      <c r="A120" s="49" t="s">
        <v>477</v>
      </c>
      <c r="B120" s="49"/>
    </row>
    <row r="121" ht="15.75" customHeight="1">
      <c r="F121" s="18" t="s">
        <v>478</v>
      </c>
    </row>
    <row r="122" ht="15.75" customHeight="1">
      <c r="B122" s="11" t="s">
        <v>479</v>
      </c>
      <c r="C122" s="11" t="s">
        <v>23</v>
      </c>
      <c r="D122" s="11" t="s">
        <v>24</v>
      </c>
      <c r="E122" s="11" t="s">
        <v>25</v>
      </c>
    </row>
    <row r="123" ht="15.75" customHeight="1">
      <c r="C123" s="23"/>
    </row>
    <row r="124" ht="15.75" customHeight="1">
      <c r="A124" s="11" t="s">
        <v>340</v>
      </c>
      <c r="B124" s="11" t="s">
        <v>480</v>
      </c>
      <c r="C124" s="23">
        <v>1642.8848</v>
      </c>
      <c r="D124" s="27">
        <v>98.08</v>
      </c>
      <c r="E124" s="11">
        <v>98.08</v>
      </c>
    </row>
    <row r="125" ht="15.75" customHeight="1">
      <c r="A125" s="11" t="s">
        <v>342</v>
      </c>
      <c r="B125" s="11" t="s">
        <v>342</v>
      </c>
      <c r="C125" s="11">
        <v>32.115181</v>
      </c>
      <c r="D125" s="27">
        <v>1.92</v>
      </c>
      <c r="E125" s="11">
        <v>100.0</v>
      </c>
    </row>
    <row r="126" ht="15.75" customHeight="1">
      <c r="C126" s="10"/>
    </row>
    <row r="127" ht="15.75" customHeight="1">
      <c r="B127" s="11" t="s">
        <v>32</v>
      </c>
      <c r="C127" s="10">
        <v>1675.0</v>
      </c>
      <c r="D127" s="11">
        <v>100.0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>
      <c r="A139" s="49" t="s">
        <v>481</v>
      </c>
      <c r="B139" s="49"/>
    </row>
    <row r="140" ht="15.75" customHeight="1">
      <c r="F140" s="18" t="s">
        <v>482</v>
      </c>
    </row>
    <row r="141" ht="15.75" customHeight="1">
      <c r="B141" s="11" t="s">
        <v>368</v>
      </c>
      <c r="C141" s="11" t="s">
        <v>23</v>
      </c>
      <c r="D141" s="11" t="s">
        <v>24</v>
      </c>
      <c r="E141" s="11" t="s">
        <v>25</v>
      </c>
    </row>
    <row r="142" ht="15.75" customHeight="1"/>
    <row r="143" ht="15.75" customHeight="1">
      <c r="A143" s="11" t="s">
        <v>340</v>
      </c>
      <c r="B143" s="11" t="s">
        <v>480</v>
      </c>
      <c r="C143" s="11">
        <v>717.560284</v>
      </c>
      <c r="D143" s="27">
        <v>40.54</v>
      </c>
      <c r="E143" s="11">
        <v>40.54</v>
      </c>
    </row>
    <row r="144" ht="15.75" customHeight="1">
      <c r="A144" s="11" t="s">
        <v>342</v>
      </c>
      <c r="B144" s="11" t="s">
        <v>342</v>
      </c>
      <c r="C144" s="23">
        <v>1052.4397</v>
      </c>
      <c r="D144" s="27">
        <v>59.46</v>
      </c>
      <c r="E144" s="11">
        <v>100.0</v>
      </c>
    </row>
    <row r="145" ht="15.75" customHeight="1"/>
    <row r="146" ht="15.75" customHeight="1">
      <c r="B146" s="11" t="s">
        <v>32</v>
      </c>
      <c r="C146" s="10">
        <v>1770.0</v>
      </c>
      <c r="D146" s="11">
        <v>100.0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21:O121"/>
    <mergeCell ref="F140:O140"/>
    <mergeCell ref="F2:O2"/>
    <mergeCell ref="S16:AB16"/>
    <mergeCell ref="F23:O23"/>
    <mergeCell ref="F41:O41"/>
    <mergeCell ref="F61:O61"/>
    <mergeCell ref="F80:O80"/>
    <mergeCell ref="F99:O99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5.0"/>
    <col customWidth="1" min="3" max="5" width="8.71"/>
    <col customWidth="1" min="6" max="6" width="12.29"/>
    <col customWidth="1" min="7" max="14" width="8.71"/>
    <col customWidth="1" min="15" max="15" width="13.71"/>
    <col customWidth="1" min="16" max="27" width="8.71"/>
  </cols>
  <sheetData>
    <row r="1">
      <c r="A1" s="1" t="s">
        <v>0</v>
      </c>
      <c r="B1" s="2">
        <v>45153.0</v>
      </c>
    </row>
    <row r="2">
      <c r="A2" s="5" t="s">
        <v>483</v>
      </c>
      <c r="B2" s="6"/>
    </row>
    <row r="3" ht="42.0" customHeight="1">
      <c r="F3" s="18" t="s">
        <v>484</v>
      </c>
    </row>
    <row r="4">
      <c r="A4" s="22" t="s">
        <v>485</v>
      </c>
      <c r="B4" s="22"/>
      <c r="C4" s="22"/>
      <c r="D4" s="22"/>
    </row>
    <row r="5">
      <c r="A5" s="11" t="s">
        <v>486</v>
      </c>
    </row>
    <row r="6">
      <c r="A6" s="11" t="s">
        <v>487</v>
      </c>
    </row>
    <row r="7">
      <c r="A7" s="11" t="s">
        <v>488</v>
      </c>
      <c r="B7" s="11" t="s">
        <v>23</v>
      </c>
      <c r="C7" s="11" t="s">
        <v>24</v>
      </c>
      <c r="D7" s="11" t="s">
        <v>25</v>
      </c>
    </row>
    <row r="9">
      <c r="A9" s="11" t="s">
        <v>489</v>
      </c>
      <c r="B9" s="11">
        <v>111.526707</v>
      </c>
      <c r="C9" s="27">
        <v>12.88</v>
      </c>
      <c r="D9" s="11">
        <v>12.88</v>
      </c>
    </row>
    <row r="10">
      <c r="A10" s="11">
        <v>1.0</v>
      </c>
      <c r="B10" s="11">
        <v>48.3250629</v>
      </c>
      <c r="C10" s="27">
        <v>5.58</v>
      </c>
      <c r="D10" s="11">
        <v>18.46</v>
      </c>
    </row>
    <row r="11">
      <c r="A11" s="11">
        <v>2.0</v>
      </c>
      <c r="B11" s="11">
        <v>124.525122</v>
      </c>
      <c r="C11" s="27">
        <v>14.38</v>
      </c>
      <c r="D11" s="11">
        <v>32.84</v>
      </c>
    </row>
    <row r="12">
      <c r="A12" s="11">
        <v>3.0</v>
      </c>
      <c r="B12" s="11">
        <v>87.7466348</v>
      </c>
      <c r="C12" s="27">
        <v>10.13</v>
      </c>
      <c r="D12" s="11">
        <v>42.97</v>
      </c>
    </row>
    <row r="13">
      <c r="A13" s="11">
        <v>4.0</v>
      </c>
      <c r="B13" s="11">
        <v>76.5157245</v>
      </c>
      <c r="C13" s="27">
        <v>8.84</v>
      </c>
      <c r="D13" s="11">
        <v>51.81</v>
      </c>
    </row>
    <row r="14">
      <c r="A14" s="11">
        <v>5.0</v>
      </c>
      <c r="B14" s="11">
        <v>233.915024</v>
      </c>
      <c r="C14" s="27">
        <v>27.01</v>
      </c>
      <c r="D14" s="11">
        <v>78.82</v>
      </c>
    </row>
    <row r="15">
      <c r="A15" s="11">
        <v>6.0</v>
      </c>
      <c r="B15" s="11">
        <v>55.2553498</v>
      </c>
      <c r="C15" s="27">
        <v>6.38</v>
      </c>
      <c r="D15" s="11">
        <v>85.2</v>
      </c>
    </row>
    <row r="16">
      <c r="A16" s="11">
        <v>7.0</v>
      </c>
      <c r="B16" s="11">
        <v>53.3519781</v>
      </c>
      <c r="C16" s="27">
        <v>6.16</v>
      </c>
      <c r="D16" s="11">
        <v>91.36</v>
      </c>
    </row>
    <row r="17">
      <c r="A17" s="11">
        <v>8.0</v>
      </c>
      <c r="B17" s="11">
        <v>39.2606535</v>
      </c>
      <c r="C17" s="27">
        <v>4.53</v>
      </c>
      <c r="D17" s="11">
        <v>95.89</v>
      </c>
    </row>
    <row r="18">
      <c r="A18" s="11">
        <v>9.0</v>
      </c>
      <c r="B18" s="11">
        <v>21.5228378</v>
      </c>
      <c r="C18" s="27">
        <v>2.49</v>
      </c>
      <c r="D18" s="11">
        <v>98.38</v>
      </c>
    </row>
    <row r="19">
      <c r="A19" s="11" t="s">
        <v>490</v>
      </c>
      <c r="B19" s="11">
        <v>14.0549056</v>
      </c>
      <c r="C19" s="27">
        <v>1.62</v>
      </c>
      <c r="D19" s="11">
        <v>100.0</v>
      </c>
    </row>
    <row r="21" ht="15.75" customHeight="1">
      <c r="A21" s="11" t="s">
        <v>32</v>
      </c>
      <c r="B21" s="11">
        <v>866.0</v>
      </c>
      <c r="C21" s="11">
        <v>100.0</v>
      </c>
    </row>
    <row r="22" ht="40.5" customHeight="1">
      <c r="N22" s="18" t="s">
        <v>491</v>
      </c>
    </row>
    <row r="23" ht="15.75" customHeight="1"/>
    <row r="24" ht="15.75" customHeight="1">
      <c r="A24" s="22" t="s">
        <v>492</v>
      </c>
      <c r="B24" s="22"/>
      <c r="C24" s="22"/>
      <c r="D24" s="22"/>
      <c r="E24" s="30"/>
      <c r="F24" s="30"/>
      <c r="H24" s="8" t="s">
        <v>485</v>
      </c>
      <c r="I24" s="11" t="s">
        <v>448</v>
      </c>
      <c r="J24" s="11" t="s">
        <v>449</v>
      </c>
      <c r="K24" s="11" t="s">
        <v>493</v>
      </c>
    </row>
    <row r="25" ht="15.75" customHeight="1">
      <c r="A25" s="49" t="s">
        <v>448</v>
      </c>
      <c r="B25" s="49"/>
      <c r="H25" s="11" t="s">
        <v>489</v>
      </c>
      <c r="I25" s="21">
        <f t="shared" ref="I25:I35" si="1">C30</f>
        <v>13.71</v>
      </c>
      <c r="J25" s="21">
        <f t="shared" ref="J25:J35" si="2">C51</f>
        <v>12.33</v>
      </c>
      <c r="K25" s="21">
        <f t="shared" ref="K25:K35" si="3">C71</f>
        <v>12.07</v>
      </c>
    </row>
    <row r="26" ht="15.75" customHeight="1">
      <c r="A26" s="11" t="s">
        <v>486</v>
      </c>
      <c r="H26" s="11">
        <v>1.0</v>
      </c>
      <c r="I26" s="21">
        <f t="shared" si="1"/>
        <v>3.11</v>
      </c>
      <c r="J26" s="21">
        <f t="shared" si="2"/>
        <v>6.67</v>
      </c>
      <c r="K26" s="21">
        <f t="shared" si="3"/>
        <v>8.67</v>
      </c>
    </row>
    <row r="27" ht="15.75" customHeight="1">
      <c r="A27" s="11" t="s">
        <v>487</v>
      </c>
      <c r="H27" s="11">
        <v>2.0</v>
      </c>
      <c r="I27" s="21">
        <f t="shared" si="1"/>
        <v>13.67</v>
      </c>
      <c r="J27" s="21">
        <f t="shared" si="2"/>
        <v>5.41</v>
      </c>
      <c r="K27" s="21">
        <f t="shared" si="3"/>
        <v>15.86</v>
      </c>
    </row>
    <row r="28" ht="15.75" customHeight="1">
      <c r="A28" s="11" t="s">
        <v>488</v>
      </c>
      <c r="B28" s="11" t="s">
        <v>23</v>
      </c>
      <c r="C28" s="11" t="s">
        <v>24</v>
      </c>
      <c r="D28" s="11" t="s">
        <v>25</v>
      </c>
      <c r="H28" s="11">
        <v>3.0</v>
      </c>
      <c r="I28" s="21">
        <f t="shared" si="1"/>
        <v>10.54</v>
      </c>
      <c r="J28" s="21">
        <f t="shared" si="2"/>
        <v>10.08</v>
      </c>
      <c r="K28" s="21">
        <f t="shared" si="3"/>
        <v>9.63</v>
      </c>
    </row>
    <row r="29" ht="15.75" customHeight="1">
      <c r="H29" s="11">
        <v>4.0</v>
      </c>
      <c r="I29" s="21">
        <f t="shared" si="1"/>
        <v>7.55</v>
      </c>
      <c r="J29" s="21">
        <f t="shared" si="2"/>
        <v>20.35</v>
      </c>
      <c r="K29" s="21">
        <f t="shared" si="3"/>
        <v>10.16</v>
      </c>
    </row>
    <row r="30" ht="15.75" customHeight="1">
      <c r="A30" s="11" t="s">
        <v>494</v>
      </c>
      <c r="B30" s="11">
        <v>49.0649859</v>
      </c>
      <c r="C30" s="11">
        <v>13.71</v>
      </c>
      <c r="D30" s="11">
        <v>13.71</v>
      </c>
      <c r="H30" s="11">
        <v>5.0</v>
      </c>
      <c r="I30" s="21">
        <f t="shared" si="1"/>
        <v>35.27</v>
      </c>
      <c r="J30" s="21">
        <f t="shared" si="2"/>
        <v>11.01</v>
      </c>
      <c r="K30" s="21">
        <f t="shared" si="3"/>
        <v>19.25</v>
      </c>
    </row>
    <row r="31" ht="15.75" customHeight="1">
      <c r="A31" s="11">
        <v>1.0</v>
      </c>
      <c r="B31" s="11">
        <v>11.14551597</v>
      </c>
      <c r="C31" s="11">
        <v>3.11</v>
      </c>
      <c r="D31" s="11">
        <v>16.82</v>
      </c>
      <c r="H31" s="11">
        <v>6.0</v>
      </c>
      <c r="I31" s="21">
        <f t="shared" si="1"/>
        <v>5.2</v>
      </c>
      <c r="J31" s="21">
        <f t="shared" si="2"/>
        <v>14.85</v>
      </c>
      <c r="K31" s="21">
        <f t="shared" si="3"/>
        <v>6.67</v>
      </c>
    </row>
    <row r="32" ht="15.75" customHeight="1">
      <c r="A32" s="11">
        <v>2.0</v>
      </c>
      <c r="B32" s="11">
        <v>48.9365803</v>
      </c>
      <c r="C32" s="11">
        <v>13.67</v>
      </c>
      <c r="D32" s="11">
        <v>30.49</v>
      </c>
      <c r="H32" s="11">
        <v>7.0</v>
      </c>
      <c r="I32" s="21">
        <f t="shared" si="1"/>
        <v>5.73</v>
      </c>
      <c r="J32" s="21">
        <f t="shared" si="2"/>
        <v>10.37</v>
      </c>
      <c r="K32" s="21">
        <f t="shared" si="3"/>
        <v>6.04</v>
      </c>
    </row>
    <row r="33" ht="15.75" customHeight="1">
      <c r="A33" s="11">
        <v>3.0</v>
      </c>
      <c r="B33" s="11">
        <v>37.7267169</v>
      </c>
      <c r="C33" s="11">
        <v>10.54</v>
      </c>
      <c r="D33" s="11">
        <v>41.03</v>
      </c>
      <c r="H33" s="11">
        <v>8.0</v>
      </c>
      <c r="I33" s="21">
        <f t="shared" si="1"/>
        <v>3.81</v>
      </c>
      <c r="J33" s="21">
        <f t="shared" si="2"/>
        <v>2.94</v>
      </c>
      <c r="K33" s="21">
        <f t="shared" si="3"/>
        <v>4.97</v>
      </c>
    </row>
    <row r="34" ht="15.75" customHeight="1">
      <c r="A34" s="11">
        <v>4.0</v>
      </c>
      <c r="B34" s="11">
        <v>27.023633</v>
      </c>
      <c r="C34" s="11">
        <v>7.55</v>
      </c>
      <c r="D34" s="11">
        <v>48.57</v>
      </c>
      <c r="H34" s="11">
        <v>9.0</v>
      </c>
      <c r="I34" s="21">
        <f t="shared" si="1"/>
        <v>0.81</v>
      </c>
      <c r="J34" s="21">
        <f t="shared" si="2"/>
        <v>6</v>
      </c>
      <c r="K34" s="21">
        <f t="shared" si="3"/>
        <v>4.26</v>
      </c>
    </row>
    <row r="35" ht="15.75" customHeight="1">
      <c r="A35" s="11">
        <v>5.0</v>
      </c>
      <c r="B35" s="11">
        <v>126.265432</v>
      </c>
      <c r="C35" s="11">
        <v>35.27</v>
      </c>
      <c r="D35" s="11">
        <v>83.84</v>
      </c>
      <c r="H35" s="11" t="s">
        <v>490</v>
      </c>
      <c r="I35" s="21">
        <f t="shared" si="1"/>
        <v>0.6</v>
      </c>
      <c r="J35" s="21" t="str">
        <f t="shared" si="2"/>
        <v/>
      </c>
      <c r="K35" s="21">
        <f t="shared" si="3"/>
        <v>2.42</v>
      </c>
    </row>
    <row r="36" ht="15.75" customHeight="1">
      <c r="A36" s="11">
        <v>6.0</v>
      </c>
      <c r="B36" s="11">
        <v>18.609127</v>
      </c>
      <c r="C36" s="11">
        <v>5.2</v>
      </c>
      <c r="D36" s="11">
        <v>89.04</v>
      </c>
    </row>
    <row r="37" ht="15.75" customHeight="1">
      <c r="A37" s="11">
        <v>7.0</v>
      </c>
      <c r="B37" s="11">
        <v>20.5138206</v>
      </c>
      <c r="C37" s="11">
        <v>5.73</v>
      </c>
      <c r="D37" s="11">
        <v>94.77</v>
      </c>
    </row>
    <row r="38" ht="15.75" customHeight="1">
      <c r="A38" s="11">
        <v>8.0</v>
      </c>
      <c r="B38" s="11">
        <v>13.651947</v>
      </c>
      <c r="C38" s="11">
        <v>3.81</v>
      </c>
      <c r="D38" s="11">
        <v>98.59</v>
      </c>
    </row>
    <row r="39" ht="15.75" customHeight="1">
      <c r="A39" s="11">
        <v>9.0</v>
      </c>
      <c r="B39" s="11">
        <v>2.90513184</v>
      </c>
      <c r="C39" s="11">
        <v>0.81</v>
      </c>
      <c r="D39" s="11">
        <v>99.4</v>
      </c>
    </row>
    <row r="40" ht="15.75" customHeight="1">
      <c r="A40" s="11" t="s">
        <v>495</v>
      </c>
      <c r="B40" s="11">
        <v>2.15710925</v>
      </c>
      <c r="C40" s="11">
        <v>0.6</v>
      </c>
      <c r="D40" s="11">
        <v>100.0</v>
      </c>
    </row>
    <row r="41" ht="15.75" customHeight="1"/>
    <row r="42" ht="15.75" customHeight="1">
      <c r="A42" s="11" t="s">
        <v>32</v>
      </c>
      <c r="B42" s="11">
        <v>358.0</v>
      </c>
      <c r="C42" s="11">
        <v>100.0</v>
      </c>
    </row>
    <row r="43" ht="15.75" customHeight="1"/>
    <row r="44" ht="15.75" customHeight="1"/>
    <row r="45" ht="15.75" customHeight="1">
      <c r="A45" s="49" t="s">
        <v>449</v>
      </c>
      <c r="B45" s="49"/>
    </row>
    <row r="46" ht="15.75" customHeight="1"/>
    <row r="47" ht="15.75" customHeight="1">
      <c r="A47" s="11" t="s">
        <v>486</v>
      </c>
    </row>
    <row r="48" ht="15.75" customHeight="1">
      <c r="A48" s="11" t="s">
        <v>487</v>
      </c>
    </row>
    <row r="49" ht="15.75" customHeight="1">
      <c r="A49" s="11" t="s">
        <v>488</v>
      </c>
      <c r="B49" s="11" t="s">
        <v>23</v>
      </c>
      <c r="C49" s="11" t="s">
        <v>24</v>
      </c>
      <c r="D49" s="11" t="s">
        <v>25</v>
      </c>
    </row>
    <row r="50" ht="15.75" customHeight="1"/>
    <row r="51" ht="15.75" customHeight="1">
      <c r="A51" s="11" t="s">
        <v>494</v>
      </c>
      <c r="B51" s="11">
        <v>3.57658738</v>
      </c>
      <c r="C51" s="11">
        <v>12.33</v>
      </c>
      <c r="D51" s="11">
        <v>12.33</v>
      </c>
    </row>
    <row r="52" ht="15.75" customHeight="1">
      <c r="A52" s="11">
        <v>2.0</v>
      </c>
      <c r="B52" s="11">
        <v>1.93368269</v>
      </c>
      <c r="C52" s="11">
        <v>6.67</v>
      </c>
      <c r="D52" s="11">
        <v>19.0</v>
      </c>
    </row>
    <row r="53" ht="15.75" customHeight="1">
      <c r="A53" s="11">
        <v>3.0</v>
      </c>
      <c r="B53" s="11">
        <v>1.56863682</v>
      </c>
      <c r="C53" s="11">
        <v>5.41</v>
      </c>
      <c r="D53" s="11">
        <v>24.41</v>
      </c>
    </row>
    <row r="54" ht="15.75" customHeight="1">
      <c r="A54" s="11">
        <v>4.0</v>
      </c>
      <c r="B54" s="11">
        <v>2.92255721</v>
      </c>
      <c r="C54" s="11">
        <v>10.08</v>
      </c>
      <c r="D54" s="11">
        <v>34.49</v>
      </c>
    </row>
    <row r="55" ht="15.75" customHeight="1">
      <c r="A55" s="11">
        <v>5.0</v>
      </c>
      <c r="B55" s="11">
        <v>5.90212332</v>
      </c>
      <c r="C55" s="11">
        <v>20.35</v>
      </c>
      <c r="D55" s="11">
        <v>54.84</v>
      </c>
    </row>
    <row r="56" ht="15.75" customHeight="1">
      <c r="A56" s="11">
        <v>6.0</v>
      </c>
      <c r="B56" s="11">
        <v>3.19148382</v>
      </c>
      <c r="C56" s="11">
        <v>11.01</v>
      </c>
      <c r="D56" s="11">
        <v>65.85</v>
      </c>
    </row>
    <row r="57" ht="15.75" customHeight="1">
      <c r="A57" s="11">
        <v>7.0</v>
      </c>
      <c r="B57" s="11">
        <v>4.30545511</v>
      </c>
      <c r="C57" s="11">
        <v>14.85</v>
      </c>
      <c r="D57" s="11">
        <v>80.69</v>
      </c>
    </row>
    <row r="58" ht="15.75" customHeight="1">
      <c r="A58" s="11">
        <v>8.0</v>
      </c>
      <c r="B58" s="11">
        <v>3.00589463</v>
      </c>
      <c r="C58" s="11">
        <v>10.37</v>
      </c>
      <c r="D58" s="11">
        <v>91.06</v>
      </c>
    </row>
    <row r="59" ht="15.75" customHeight="1">
      <c r="A59" s="11">
        <v>9.0</v>
      </c>
      <c r="B59" s="11">
        <v>0.852588764</v>
      </c>
      <c r="C59" s="11">
        <v>2.94</v>
      </c>
      <c r="D59" s="11">
        <v>94.0</v>
      </c>
    </row>
    <row r="60" ht="15.75" customHeight="1">
      <c r="A60" s="11" t="s">
        <v>495</v>
      </c>
      <c r="B60" s="11">
        <v>1.74099024</v>
      </c>
      <c r="C60" s="11">
        <v>6.0</v>
      </c>
      <c r="D60" s="11">
        <v>100.0</v>
      </c>
    </row>
    <row r="61" ht="15.75" customHeight="1"/>
    <row r="62" ht="15.75" customHeight="1">
      <c r="A62" s="11" t="s">
        <v>32</v>
      </c>
      <c r="B62" s="11">
        <v>29.0</v>
      </c>
      <c r="C62" s="11">
        <v>100.0</v>
      </c>
    </row>
    <row r="63" ht="15.75" customHeight="1"/>
    <row r="64" ht="15.75" customHeight="1"/>
    <row r="65" ht="15.75" customHeight="1">
      <c r="A65" s="49" t="s">
        <v>493</v>
      </c>
      <c r="B65" s="49"/>
    </row>
    <row r="66" ht="15.75" customHeight="1"/>
    <row r="67" ht="15.75" customHeight="1">
      <c r="A67" s="11" t="s">
        <v>486</v>
      </c>
    </row>
    <row r="68" ht="15.75" customHeight="1">
      <c r="A68" s="11" t="s">
        <v>487</v>
      </c>
    </row>
    <row r="69" ht="15.75" customHeight="1">
      <c r="A69" s="11" t="s">
        <v>488</v>
      </c>
      <c r="B69" s="11" t="s">
        <v>23</v>
      </c>
      <c r="C69" s="11" t="s">
        <v>24</v>
      </c>
      <c r="D69" s="11" t="s">
        <v>25</v>
      </c>
    </row>
    <row r="70" ht="15.75" customHeight="1"/>
    <row r="71" ht="15.75" customHeight="1">
      <c r="A71" s="11" t="s">
        <v>494</v>
      </c>
      <c r="B71" s="11">
        <v>56.3676586</v>
      </c>
      <c r="C71" s="11">
        <v>12.07</v>
      </c>
      <c r="D71" s="11">
        <v>12.07</v>
      </c>
    </row>
    <row r="72" ht="15.75" customHeight="1">
      <c r="A72" s="11">
        <v>1.0</v>
      </c>
      <c r="B72" s="11">
        <v>40.4883827</v>
      </c>
      <c r="C72" s="11">
        <v>8.67</v>
      </c>
      <c r="D72" s="11">
        <v>20.74</v>
      </c>
    </row>
    <row r="73" ht="15.75" customHeight="1">
      <c r="A73" s="11">
        <v>2.0</v>
      </c>
      <c r="B73" s="11">
        <v>74.049195</v>
      </c>
      <c r="C73" s="11">
        <v>15.86</v>
      </c>
      <c r="D73" s="11">
        <v>36.6</v>
      </c>
    </row>
    <row r="74" ht="15.75" customHeight="1">
      <c r="A74" s="11">
        <v>3.0</v>
      </c>
      <c r="B74" s="11">
        <v>44.99531224</v>
      </c>
      <c r="C74" s="11">
        <v>9.63</v>
      </c>
      <c r="D74" s="11">
        <v>46.23</v>
      </c>
    </row>
    <row r="75" ht="15.75" customHeight="1">
      <c r="A75" s="11">
        <v>4.0</v>
      </c>
      <c r="B75" s="11">
        <v>47.43897127</v>
      </c>
      <c r="C75" s="11">
        <v>10.16</v>
      </c>
      <c r="D75" s="11">
        <v>56.39</v>
      </c>
    </row>
    <row r="76" ht="15.75" customHeight="1">
      <c r="A76" s="11">
        <v>5.0</v>
      </c>
      <c r="B76" s="11">
        <v>89.91157455</v>
      </c>
      <c r="C76" s="11">
        <v>19.25</v>
      </c>
      <c r="D76" s="11">
        <v>75.64</v>
      </c>
    </row>
    <row r="77" ht="15.75" customHeight="1">
      <c r="A77" s="11">
        <v>6.0</v>
      </c>
      <c r="B77" s="11">
        <v>31.1594051</v>
      </c>
      <c r="C77" s="11">
        <v>6.67</v>
      </c>
      <c r="D77" s="11">
        <v>82.31</v>
      </c>
    </row>
    <row r="78" ht="15.75" customHeight="1">
      <c r="A78" s="11">
        <v>7.0</v>
      </c>
      <c r="B78" s="11">
        <v>28.2258759</v>
      </c>
      <c r="C78" s="11">
        <v>6.04</v>
      </c>
      <c r="D78" s="11">
        <v>88.36</v>
      </c>
    </row>
    <row r="79" ht="15.75" customHeight="1">
      <c r="A79" s="11">
        <v>8.0</v>
      </c>
      <c r="B79" s="11">
        <v>23.192859</v>
      </c>
      <c r="C79" s="11">
        <v>4.97</v>
      </c>
      <c r="D79" s="11">
        <v>93.33</v>
      </c>
    </row>
    <row r="80" ht="15.75" customHeight="1">
      <c r="A80" s="11">
        <v>9.0</v>
      </c>
      <c r="B80" s="11">
        <v>19.8843651</v>
      </c>
      <c r="C80" s="11">
        <v>4.26</v>
      </c>
      <c r="D80" s="11">
        <v>97.58</v>
      </c>
    </row>
    <row r="81" ht="15.75" customHeight="1">
      <c r="A81" s="11" t="s">
        <v>495</v>
      </c>
      <c r="B81" s="11">
        <v>11.28640052</v>
      </c>
      <c r="C81" s="11">
        <v>2.42</v>
      </c>
      <c r="D81" s="11">
        <v>100.0</v>
      </c>
    </row>
    <row r="82" ht="15.75" customHeight="1"/>
    <row r="83" ht="15.75" customHeight="1">
      <c r="A83" s="11" t="s">
        <v>32</v>
      </c>
      <c r="B83" s="11">
        <v>467.0</v>
      </c>
      <c r="C83" s="11">
        <v>100.0</v>
      </c>
    </row>
    <row r="84" ht="15.75" customHeight="1"/>
    <row r="85" ht="35.25" customHeight="1">
      <c r="G85" s="18" t="s">
        <v>496</v>
      </c>
    </row>
    <row r="86" ht="15.75" customHeight="1">
      <c r="A86" s="22" t="s">
        <v>497</v>
      </c>
      <c r="B86" s="22"/>
      <c r="C86" s="30"/>
      <c r="D86" s="30"/>
      <c r="E86" s="30"/>
    </row>
    <row r="87" ht="15.75" customHeight="1"/>
    <row r="88" ht="15.75" customHeight="1">
      <c r="B88" s="11" t="s">
        <v>486</v>
      </c>
    </row>
    <row r="89" ht="15.75" customHeight="1">
      <c r="B89" s="11" t="s">
        <v>498</v>
      </c>
    </row>
    <row r="90" ht="15.75" customHeight="1">
      <c r="B90" s="11" t="s">
        <v>499</v>
      </c>
      <c r="C90" s="11" t="s">
        <v>23</v>
      </c>
      <c r="D90" s="11" t="s">
        <v>24</v>
      </c>
      <c r="E90" s="11" t="s">
        <v>25</v>
      </c>
    </row>
    <row r="91" ht="15.75" customHeight="1"/>
    <row r="92" ht="15.75" customHeight="1">
      <c r="A92" s="71" t="s">
        <v>500</v>
      </c>
      <c r="B92" s="11" t="s">
        <v>501</v>
      </c>
      <c r="C92" s="11">
        <v>21.1451061</v>
      </c>
      <c r="D92" s="21">
        <v>2.48</v>
      </c>
      <c r="E92" s="11">
        <v>2.48</v>
      </c>
    </row>
    <row r="93" ht="15.75" customHeight="1">
      <c r="B93" s="11">
        <v>1.0</v>
      </c>
      <c r="C93" s="11">
        <v>10.40848427</v>
      </c>
      <c r="D93" s="21">
        <v>1.22</v>
      </c>
      <c r="E93" s="11">
        <v>3.69</v>
      </c>
    </row>
    <row r="94" ht="15.75" customHeight="1">
      <c r="B94" s="11">
        <v>2.0</v>
      </c>
      <c r="C94" s="11">
        <v>30.8548296</v>
      </c>
      <c r="D94" s="21">
        <v>3.61</v>
      </c>
      <c r="E94" s="11">
        <v>7.31</v>
      </c>
    </row>
    <row r="95" ht="15.75" customHeight="1">
      <c r="B95" s="11">
        <v>3.0</v>
      </c>
      <c r="C95" s="11">
        <v>41.3172853</v>
      </c>
      <c r="D95" s="21">
        <v>4.84</v>
      </c>
      <c r="E95" s="11">
        <v>12.15</v>
      </c>
    </row>
    <row r="96" ht="15.75" customHeight="1">
      <c r="B96" s="11">
        <v>4.0</v>
      </c>
      <c r="C96" s="11">
        <v>33.4371366</v>
      </c>
      <c r="D96" s="21">
        <v>3.92</v>
      </c>
      <c r="E96" s="11">
        <v>16.06</v>
      </c>
    </row>
    <row r="97" ht="15.75" customHeight="1">
      <c r="B97" s="11">
        <v>5.0</v>
      </c>
      <c r="C97" s="11">
        <v>169.191537</v>
      </c>
      <c r="D97" s="21">
        <v>19.81</v>
      </c>
      <c r="E97" s="11">
        <v>35.87</v>
      </c>
    </row>
    <row r="98" ht="15.75" customHeight="1">
      <c r="B98" s="11">
        <v>6.0</v>
      </c>
      <c r="C98" s="11">
        <v>100.689263</v>
      </c>
      <c r="D98" s="21">
        <v>11.79</v>
      </c>
      <c r="E98" s="11">
        <v>47.66</v>
      </c>
    </row>
    <row r="99" ht="15.75" customHeight="1">
      <c r="B99" s="11">
        <v>7.0</v>
      </c>
      <c r="C99" s="11">
        <v>88.659464</v>
      </c>
      <c r="D99" s="21">
        <v>10.38</v>
      </c>
      <c r="E99" s="11">
        <v>58.04</v>
      </c>
    </row>
    <row r="100" ht="15.75" customHeight="1">
      <c r="B100" s="11">
        <v>8.0</v>
      </c>
      <c r="C100" s="11">
        <v>157.888182</v>
      </c>
      <c r="D100" s="21">
        <v>18.49</v>
      </c>
      <c r="E100" s="11">
        <v>76.53</v>
      </c>
    </row>
    <row r="101" ht="15.75" customHeight="1">
      <c r="B101" s="11">
        <v>9.0</v>
      </c>
      <c r="C101" s="11">
        <v>65.98350305</v>
      </c>
      <c r="D101" s="21">
        <v>7.73</v>
      </c>
      <c r="E101" s="11">
        <v>84.26</v>
      </c>
    </row>
    <row r="102" ht="15.75" customHeight="1">
      <c r="A102" s="11" t="s">
        <v>502</v>
      </c>
      <c r="B102" s="11" t="s">
        <v>503</v>
      </c>
      <c r="C102" s="11">
        <v>134.425208</v>
      </c>
      <c r="D102" s="21">
        <v>15.74</v>
      </c>
      <c r="E102" s="11">
        <v>100.0</v>
      </c>
    </row>
    <row r="103" ht="15.75" customHeight="1"/>
    <row r="104" ht="41.25" customHeight="1">
      <c r="B104" s="11" t="s">
        <v>32</v>
      </c>
      <c r="C104" s="11">
        <v>854.0</v>
      </c>
      <c r="D104" s="11">
        <v>100.0</v>
      </c>
      <c r="N104" s="18" t="s">
        <v>504</v>
      </c>
    </row>
    <row r="105" ht="15.75" customHeight="1"/>
    <row r="106" ht="15.75" customHeight="1">
      <c r="A106" s="22" t="s">
        <v>505</v>
      </c>
      <c r="B106" s="22"/>
      <c r="C106" s="30"/>
      <c r="D106" s="30"/>
      <c r="E106" s="30"/>
      <c r="F106" s="30"/>
      <c r="G106" s="30"/>
      <c r="H106" s="8" t="s">
        <v>497</v>
      </c>
      <c r="I106" s="11" t="s">
        <v>448</v>
      </c>
      <c r="J106" s="11" t="s">
        <v>449</v>
      </c>
      <c r="K106" s="11" t="s">
        <v>493</v>
      </c>
    </row>
    <row r="107" ht="15.75" customHeight="1">
      <c r="A107" s="49" t="s">
        <v>448</v>
      </c>
      <c r="B107" s="49"/>
      <c r="H107" s="11" t="s">
        <v>500</v>
      </c>
      <c r="I107" s="21">
        <f t="shared" ref="I107:I117" si="4">C112</f>
        <v>2.14</v>
      </c>
      <c r="J107" s="21">
        <f t="shared" ref="J107:J117" si="5">C133</f>
        <v>3.79</v>
      </c>
      <c r="K107" s="21">
        <f t="shared" ref="K107:K117" si="6">C153</f>
        <v>2.77</v>
      </c>
    </row>
    <row r="108" ht="15.75" customHeight="1">
      <c r="A108" s="11" t="s">
        <v>486</v>
      </c>
      <c r="H108" s="11">
        <v>1.0</v>
      </c>
      <c r="I108" s="21">
        <f t="shared" si="4"/>
        <v>0.7</v>
      </c>
      <c r="J108" s="21" t="str">
        <f t="shared" si="5"/>
        <v/>
      </c>
      <c r="K108" s="21">
        <f t="shared" si="6"/>
        <v>1.86</v>
      </c>
    </row>
    <row r="109" ht="15.75" customHeight="1">
      <c r="A109" s="11" t="s">
        <v>498</v>
      </c>
      <c r="H109" s="11">
        <v>2.0</v>
      </c>
      <c r="I109" s="21">
        <f t="shared" si="4"/>
        <v>3.45</v>
      </c>
      <c r="J109" s="21" t="str">
        <f t="shared" si="5"/>
        <v/>
      </c>
      <c r="K109" s="21">
        <f t="shared" si="6"/>
        <v>4.1</v>
      </c>
    </row>
    <row r="110" ht="15.75" customHeight="1">
      <c r="A110" s="11" t="s">
        <v>499</v>
      </c>
      <c r="B110" s="11" t="s">
        <v>23</v>
      </c>
      <c r="C110" s="11" t="s">
        <v>24</v>
      </c>
      <c r="D110" s="11" t="s">
        <v>25</v>
      </c>
      <c r="H110" s="11">
        <v>3.0</v>
      </c>
      <c r="I110" s="21">
        <f t="shared" si="4"/>
        <v>5.23</v>
      </c>
      <c r="J110" s="21">
        <f t="shared" si="5"/>
        <v>1.6</v>
      </c>
      <c r="K110" s="21">
        <f t="shared" si="6"/>
        <v>4.87</v>
      </c>
    </row>
    <row r="111" ht="15.75" customHeight="1">
      <c r="H111" s="11">
        <v>4.0</v>
      </c>
      <c r="I111" s="21">
        <f t="shared" si="4"/>
        <v>3.2</v>
      </c>
      <c r="J111" s="21">
        <f t="shared" si="5"/>
        <v>33.49</v>
      </c>
      <c r="K111" s="21">
        <f t="shared" si="6"/>
        <v>4.89</v>
      </c>
    </row>
    <row r="112" ht="15.75" customHeight="1">
      <c r="A112" s="11" t="s">
        <v>506</v>
      </c>
      <c r="B112" s="11">
        <v>7.58810634</v>
      </c>
      <c r="C112" s="11">
        <v>2.14</v>
      </c>
      <c r="D112" s="11">
        <v>2.14</v>
      </c>
      <c r="H112" s="11">
        <v>5.0</v>
      </c>
      <c r="I112" s="21">
        <f t="shared" si="4"/>
        <v>20.39</v>
      </c>
      <c r="J112" s="21">
        <f t="shared" si="5"/>
        <v>1.27</v>
      </c>
      <c r="K112" s="21">
        <f t="shared" si="6"/>
        <v>17.99</v>
      </c>
    </row>
    <row r="113" ht="15.75" customHeight="1">
      <c r="A113" s="11">
        <v>1.0</v>
      </c>
      <c r="B113" s="11">
        <v>2.46601712</v>
      </c>
      <c r="C113" s="11">
        <v>0.7</v>
      </c>
      <c r="D113" s="11">
        <v>2.84</v>
      </c>
      <c r="H113" s="11">
        <v>6.0</v>
      </c>
      <c r="I113" s="21">
        <f t="shared" si="4"/>
        <v>10.17</v>
      </c>
      <c r="J113" s="21" t="str">
        <f t="shared" si="5"/>
        <v/>
      </c>
      <c r="K113" s="21">
        <f t="shared" si="6"/>
        <v>14.26</v>
      </c>
    </row>
    <row r="114" ht="15.75" customHeight="1">
      <c r="A114" s="11">
        <v>2.0</v>
      </c>
      <c r="B114" s="11">
        <v>12.2090185</v>
      </c>
      <c r="C114" s="11">
        <v>3.45</v>
      </c>
      <c r="D114" s="11">
        <v>6.29</v>
      </c>
      <c r="H114" s="11">
        <v>7.0</v>
      </c>
      <c r="I114" s="21">
        <f t="shared" si="4"/>
        <v>12.37</v>
      </c>
      <c r="J114" s="21">
        <f t="shared" si="5"/>
        <v>26.74</v>
      </c>
      <c r="K114" s="21">
        <f t="shared" si="6"/>
        <v>8.99</v>
      </c>
    </row>
    <row r="115" ht="15.75" customHeight="1">
      <c r="A115" s="11">
        <v>3.0</v>
      </c>
      <c r="B115" s="11">
        <v>18.5035535</v>
      </c>
      <c r="C115" s="11">
        <v>5.23</v>
      </c>
      <c r="D115" s="11">
        <v>11.52</v>
      </c>
      <c r="H115" s="11">
        <v>8.0</v>
      </c>
      <c r="I115" s="21">
        <f t="shared" si="4"/>
        <v>16.56</v>
      </c>
      <c r="J115" s="21">
        <f t="shared" si="5"/>
        <v>15.55</v>
      </c>
      <c r="K115" s="21">
        <f t="shared" si="6"/>
        <v>19.66</v>
      </c>
    </row>
    <row r="116" ht="15.75" customHeight="1">
      <c r="A116" s="11">
        <v>4.0</v>
      </c>
      <c r="B116" s="11">
        <v>11.32428109</v>
      </c>
      <c r="C116" s="11">
        <v>3.2</v>
      </c>
      <c r="D116" s="11">
        <v>14.71</v>
      </c>
      <c r="H116" s="11">
        <v>9.0</v>
      </c>
      <c r="I116" s="21">
        <f t="shared" si="4"/>
        <v>6.35</v>
      </c>
      <c r="J116" s="21">
        <f t="shared" si="5"/>
        <v>17.56</v>
      </c>
      <c r="K116" s="21">
        <f t="shared" si="6"/>
        <v>8.51</v>
      </c>
    </row>
    <row r="117" ht="15.75" customHeight="1">
      <c r="A117" s="11">
        <v>5.0</v>
      </c>
      <c r="B117" s="11">
        <v>72.1964699</v>
      </c>
      <c r="C117" s="11">
        <v>20.39</v>
      </c>
      <c r="D117" s="11">
        <v>35.11</v>
      </c>
      <c r="H117" s="11" t="s">
        <v>502</v>
      </c>
      <c r="I117" s="21">
        <f t="shared" si="4"/>
        <v>19.44</v>
      </c>
      <c r="J117" s="21" t="str">
        <f t="shared" si="5"/>
        <v/>
      </c>
      <c r="K117" s="21">
        <f t="shared" si="6"/>
        <v>12.09</v>
      </c>
    </row>
    <row r="118" ht="15.75" customHeight="1">
      <c r="A118" s="11">
        <v>6.0</v>
      </c>
      <c r="B118" s="11">
        <v>36.0155806</v>
      </c>
      <c r="C118" s="11">
        <v>10.17</v>
      </c>
      <c r="D118" s="11">
        <v>45.28</v>
      </c>
    </row>
    <row r="119" ht="15.75" customHeight="1">
      <c r="A119" s="11">
        <v>7.0</v>
      </c>
      <c r="B119" s="11">
        <v>43.7798676</v>
      </c>
      <c r="C119" s="11">
        <v>12.37</v>
      </c>
      <c r="D119" s="11">
        <v>57.65</v>
      </c>
    </row>
    <row r="120" ht="15.75" customHeight="1">
      <c r="A120" s="11">
        <v>8.0</v>
      </c>
      <c r="B120" s="11">
        <v>58.6128433</v>
      </c>
      <c r="C120" s="11">
        <v>16.56</v>
      </c>
      <c r="D120" s="11">
        <v>74.21</v>
      </c>
    </row>
    <row r="121" ht="15.75" customHeight="1">
      <c r="A121" s="11">
        <v>9.0</v>
      </c>
      <c r="B121" s="11">
        <v>22.4716488</v>
      </c>
      <c r="C121" s="11">
        <v>6.35</v>
      </c>
      <c r="D121" s="11">
        <v>80.56</v>
      </c>
    </row>
    <row r="122" ht="15.75" customHeight="1">
      <c r="A122" s="11" t="s">
        <v>507</v>
      </c>
      <c r="B122" s="11">
        <v>68.8326133</v>
      </c>
      <c r="C122" s="11">
        <v>19.44</v>
      </c>
      <c r="D122" s="11">
        <v>100.0</v>
      </c>
    </row>
    <row r="123" ht="15.75" customHeight="1"/>
    <row r="124" ht="15.75" customHeight="1">
      <c r="A124" s="11" t="s">
        <v>32</v>
      </c>
      <c r="B124" s="11">
        <v>354.0</v>
      </c>
      <c r="C124" s="11">
        <v>100.0</v>
      </c>
    </row>
    <row r="125" ht="15.75" customHeight="1"/>
    <row r="126" ht="15.75" customHeight="1"/>
    <row r="127" ht="15.75" customHeight="1">
      <c r="A127" s="49" t="s">
        <v>449</v>
      </c>
      <c r="B127" s="49"/>
    </row>
    <row r="128" ht="15.75" customHeight="1"/>
    <row r="129" ht="15.75" customHeight="1">
      <c r="A129" s="11" t="s">
        <v>486</v>
      </c>
    </row>
    <row r="130" ht="15.75" customHeight="1">
      <c r="A130" s="11" t="s">
        <v>498</v>
      </c>
    </row>
    <row r="131" ht="15.75" customHeight="1">
      <c r="A131" s="11" t="s">
        <v>499</v>
      </c>
      <c r="B131" s="11" t="s">
        <v>23</v>
      </c>
      <c r="C131" s="11" t="s">
        <v>24</v>
      </c>
      <c r="D131" s="11" t="s">
        <v>25</v>
      </c>
    </row>
    <row r="132" ht="15.75" customHeight="1"/>
    <row r="133" ht="15.75" customHeight="1">
      <c r="A133" s="11" t="s">
        <v>506</v>
      </c>
      <c r="B133" s="11">
        <v>1.09861247</v>
      </c>
      <c r="C133" s="11">
        <v>3.79</v>
      </c>
      <c r="D133" s="11">
        <v>3.79</v>
      </c>
    </row>
    <row r="134" ht="15.75" customHeight="1">
      <c r="A134" s="11">
        <v>2.0</v>
      </c>
    </row>
    <row r="135" ht="15.75" customHeight="1">
      <c r="A135" s="11">
        <v>3.0</v>
      </c>
    </row>
    <row r="136" ht="15.75" customHeight="1">
      <c r="A136" s="11">
        <v>4.0</v>
      </c>
      <c r="B136" s="11">
        <v>0.465250228</v>
      </c>
      <c r="C136" s="11">
        <v>1.6</v>
      </c>
      <c r="D136" s="11">
        <v>5.39</v>
      </c>
    </row>
    <row r="137" ht="15.75" customHeight="1">
      <c r="A137" s="11">
        <v>5.0</v>
      </c>
      <c r="B137" s="11">
        <v>9.71093413</v>
      </c>
      <c r="C137" s="11">
        <v>33.49</v>
      </c>
      <c r="D137" s="11">
        <v>38.88</v>
      </c>
    </row>
    <row r="138" ht="15.75" customHeight="1">
      <c r="A138" s="11">
        <v>6.0</v>
      </c>
      <c r="B138" s="11">
        <v>0.368408208</v>
      </c>
      <c r="C138" s="11">
        <v>1.27</v>
      </c>
      <c r="D138" s="11">
        <v>40.15</v>
      </c>
    </row>
    <row r="139" ht="15.75" customHeight="1">
      <c r="A139" s="11">
        <v>7.0</v>
      </c>
    </row>
    <row r="140" ht="15.75" customHeight="1">
      <c r="A140" s="11">
        <v>8.0</v>
      </c>
      <c r="B140" s="11">
        <v>7.75521554</v>
      </c>
      <c r="C140" s="11">
        <v>26.74</v>
      </c>
      <c r="D140" s="11">
        <v>66.89</v>
      </c>
    </row>
    <row r="141" ht="15.75" customHeight="1">
      <c r="A141" s="11">
        <v>9.0</v>
      </c>
      <c r="B141" s="11">
        <v>4.51060067</v>
      </c>
      <c r="C141" s="11">
        <v>15.55</v>
      </c>
      <c r="D141" s="11">
        <v>82.44</v>
      </c>
    </row>
    <row r="142" ht="15.75" customHeight="1">
      <c r="A142" s="11" t="s">
        <v>507</v>
      </c>
      <c r="B142" s="11">
        <v>5.09097877</v>
      </c>
      <c r="C142" s="11">
        <v>17.56</v>
      </c>
      <c r="D142" s="11">
        <v>100.0</v>
      </c>
    </row>
    <row r="143" ht="15.75" customHeight="1"/>
    <row r="144" ht="15.75" customHeight="1">
      <c r="A144" s="11" t="s">
        <v>32</v>
      </c>
      <c r="B144" s="11">
        <v>29.0</v>
      </c>
      <c r="C144" s="11">
        <v>100.0</v>
      </c>
    </row>
    <row r="145" ht="15.75" customHeight="1"/>
    <row r="146" ht="15.75" customHeight="1"/>
    <row r="147" ht="15.75" customHeight="1">
      <c r="A147" s="49" t="s">
        <v>493</v>
      </c>
      <c r="B147" s="49"/>
    </row>
    <row r="148" ht="15.75" customHeight="1"/>
    <row r="149" ht="15.75" customHeight="1">
      <c r="A149" s="11" t="s">
        <v>486</v>
      </c>
    </row>
    <row r="150" ht="15.75" customHeight="1">
      <c r="A150" s="11" t="s">
        <v>498</v>
      </c>
    </row>
    <row r="151" ht="15.75" customHeight="1">
      <c r="A151" s="11" t="s">
        <v>499</v>
      </c>
      <c r="B151" s="11" t="s">
        <v>23</v>
      </c>
      <c r="C151" s="11" t="s">
        <v>24</v>
      </c>
      <c r="D151" s="11" t="s">
        <v>25</v>
      </c>
    </row>
    <row r="152" ht="15.75" customHeight="1"/>
    <row r="153" ht="15.75" customHeight="1">
      <c r="A153" s="11" t="s">
        <v>506</v>
      </c>
      <c r="B153" s="11">
        <v>12.7472506</v>
      </c>
      <c r="C153" s="11">
        <v>2.77</v>
      </c>
      <c r="D153" s="11">
        <v>2.77</v>
      </c>
    </row>
    <row r="154" ht="15.75" customHeight="1">
      <c r="A154" s="11">
        <v>1.0</v>
      </c>
      <c r="B154" s="11">
        <v>8.57503952</v>
      </c>
      <c r="C154" s="11">
        <v>1.86</v>
      </c>
      <c r="D154" s="11">
        <v>4.64</v>
      </c>
    </row>
    <row r="155" ht="15.75" customHeight="1">
      <c r="A155" s="11">
        <v>2.0</v>
      </c>
      <c r="B155" s="11">
        <v>18.8718955</v>
      </c>
      <c r="C155" s="11">
        <v>4.1</v>
      </c>
      <c r="D155" s="11">
        <v>8.74</v>
      </c>
    </row>
    <row r="156" ht="15.75" customHeight="1">
      <c r="A156" s="11">
        <v>3.0</v>
      </c>
      <c r="B156" s="11">
        <v>22.3911533</v>
      </c>
      <c r="C156" s="11">
        <v>4.87</v>
      </c>
      <c r="D156" s="11">
        <v>13.61</v>
      </c>
    </row>
    <row r="157" ht="15.75" customHeight="1">
      <c r="A157" s="11">
        <v>4.0</v>
      </c>
      <c r="B157" s="11">
        <v>22.4801031</v>
      </c>
      <c r="C157" s="11">
        <v>4.89</v>
      </c>
      <c r="D157" s="11">
        <v>18.49</v>
      </c>
    </row>
    <row r="158" ht="15.75" customHeight="1">
      <c r="A158" s="11">
        <v>5.0</v>
      </c>
      <c r="B158" s="11">
        <v>82.7570344</v>
      </c>
      <c r="C158" s="11">
        <v>17.99</v>
      </c>
      <c r="D158" s="11">
        <v>36.48</v>
      </c>
    </row>
    <row r="159" ht="15.75" customHeight="1">
      <c r="A159" s="11">
        <v>6.0</v>
      </c>
      <c r="B159" s="11">
        <v>65.5859535</v>
      </c>
      <c r="C159" s="11">
        <v>14.26</v>
      </c>
      <c r="D159" s="11">
        <v>50.74</v>
      </c>
    </row>
    <row r="160" ht="15.75" customHeight="1">
      <c r="A160" s="11">
        <v>7.0</v>
      </c>
      <c r="B160" s="11">
        <v>41.3738591</v>
      </c>
      <c r="C160" s="11">
        <v>8.99</v>
      </c>
      <c r="D160" s="11">
        <v>59.74</v>
      </c>
    </row>
    <row r="161" ht="15.75" customHeight="1">
      <c r="A161" s="11">
        <v>8.0</v>
      </c>
      <c r="B161" s="11">
        <v>90.452885</v>
      </c>
      <c r="C161" s="11">
        <v>19.66</v>
      </c>
      <c r="D161" s="11">
        <v>79.4</v>
      </c>
    </row>
    <row r="162" ht="15.75" customHeight="1">
      <c r="A162" s="11">
        <v>9.0</v>
      </c>
      <c r="B162" s="11">
        <v>39.1381388</v>
      </c>
      <c r="C162" s="11">
        <v>8.51</v>
      </c>
      <c r="D162" s="11">
        <v>87.91</v>
      </c>
    </row>
    <row r="163" ht="15.75" customHeight="1">
      <c r="A163" s="11" t="s">
        <v>507</v>
      </c>
      <c r="B163" s="11">
        <v>55.6266871</v>
      </c>
      <c r="C163" s="11">
        <v>12.09</v>
      </c>
      <c r="D163" s="11">
        <v>100.0</v>
      </c>
    </row>
    <row r="164" ht="15.75" customHeight="1"/>
    <row r="165" ht="15.75" customHeight="1">
      <c r="A165" s="11" t="s">
        <v>32</v>
      </c>
      <c r="B165" s="11">
        <v>460.0</v>
      </c>
      <c r="C165" s="11">
        <v>100.0</v>
      </c>
    </row>
    <row r="166" ht="15.75" customHeight="1"/>
    <row r="167" ht="15.75" customHeight="1"/>
    <row r="168" ht="15.75" customHeight="1"/>
    <row r="169" ht="36.0" customHeight="1">
      <c r="A169" s="22" t="s">
        <v>508</v>
      </c>
      <c r="B169" s="22"/>
      <c r="C169" s="22"/>
      <c r="D169" s="22"/>
      <c r="E169" s="72"/>
      <c r="F169" s="18" t="s">
        <v>509</v>
      </c>
    </row>
    <row r="170" ht="15.75" customHeight="1">
      <c r="A170" s="11" t="s">
        <v>510</v>
      </c>
    </row>
    <row r="171" ht="15.75" customHeight="1">
      <c r="A171" s="11" t="s">
        <v>511</v>
      </c>
    </row>
    <row r="172" ht="15.75" customHeight="1">
      <c r="A172" s="11" t="s">
        <v>512</v>
      </c>
      <c r="B172" s="11" t="s">
        <v>23</v>
      </c>
      <c r="C172" s="11" t="s">
        <v>24</v>
      </c>
      <c r="D172" s="11" t="s">
        <v>25</v>
      </c>
    </row>
    <row r="173" ht="15.75" customHeight="1"/>
    <row r="174" ht="15.75" customHeight="1">
      <c r="A174" s="11" t="s">
        <v>513</v>
      </c>
      <c r="B174" s="11">
        <v>177.773306</v>
      </c>
      <c r="C174" s="21">
        <v>10.26</v>
      </c>
      <c r="D174" s="11">
        <v>10.26</v>
      </c>
    </row>
    <row r="175" ht="15.75" customHeight="1">
      <c r="A175" s="11">
        <v>1.0</v>
      </c>
      <c r="B175" s="11">
        <v>102.137978</v>
      </c>
      <c r="C175" s="21">
        <v>5.9</v>
      </c>
      <c r="D175" s="11">
        <v>16.16</v>
      </c>
    </row>
    <row r="176" ht="15.75" customHeight="1">
      <c r="A176" s="11">
        <v>2.0</v>
      </c>
      <c r="B176" s="11">
        <v>185.8531</v>
      </c>
      <c r="C176" s="21">
        <v>10.73</v>
      </c>
      <c r="D176" s="11">
        <v>26.89</v>
      </c>
    </row>
    <row r="177" ht="15.75" customHeight="1">
      <c r="A177" s="11">
        <v>3.0</v>
      </c>
      <c r="B177" s="11">
        <v>168.60446</v>
      </c>
      <c r="C177" s="21">
        <v>9.73</v>
      </c>
      <c r="D177" s="11">
        <v>36.63</v>
      </c>
    </row>
    <row r="178" ht="15.75" customHeight="1">
      <c r="A178" s="11">
        <v>4.0</v>
      </c>
      <c r="B178" s="11">
        <v>139.198637</v>
      </c>
      <c r="C178" s="21">
        <v>8.04</v>
      </c>
      <c r="D178" s="11">
        <v>44.66</v>
      </c>
    </row>
    <row r="179" ht="15.75" customHeight="1">
      <c r="A179" s="11">
        <v>5.0</v>
      </c>
      <c r="B179" s="11">
        <v>333.376456</v>
      </c>
      <c r="C179" s="21">
        <v>19.25</v>
      </c>
      <c r="D179" s="11">
        <v>63.91</v>
      </c>
    </row>
    <row r="180" ht="15.75" customHeight="1">
      <c r="A180" s="11">
        <v>6.0</v>
      </c>
      <c r="B180" s="11">
        <v>183.070391</v>
      </c>
      <c r="C180" s="21">
        <v>10.57</v>
      </c>
      <c r="D180" s="11">
        <v>74.48</v>
      </c>
    </row>
    <row r="181" ht="15.75" customHeight="1">
      <c r="A181" s="11">
        <v>7.0</v>
      </c>
      <c r="B181" s="11">
        <v>172.811919</v>
      </c>
      <c r="C181" s="21">
        <v>9.98</v>
      </c>
      <c r="D181" s="11">
        <v>84.46</v>
      </c>
    </row>
    <row r="182" ht="15.75" customHeight="1">
      <c r="A182" s="11">
        <v>8.0</v>
      </c>
      <c r="B182" s="11">
        <v>131.687749</v>
      </c>
      <c r="C182" s="21">
        <v>7.6</v>
      </c>
      <c r="D182" s="11">
        <v>92.06</v>
      </c>
    </row>
    <row r="183" ht="15.75" customHeight="1">
      <c r="A183" s="11">
        <v>9.0</v>
      </c>
      <c r="B183" s="11">
        <v>61.7136037</v>
      </c>
      <c r="C183" s="21">
        <v>3.56</v>
      </c>
      <c r="D183" s="11">
        <v>95.63</v>
      </c>
    </row>
    <row r="184" ht="15.75" customHeight="1">
      <c r="A184" s="11" t="s">
        <v>514</v>
      </c>
      <c r="B184" s="11">
        <v>75.7723996</v>
      </c>
      <c r="C184" s="21">
        <v>4.37</v>
      </c>
      <c r="D184" s="11">
        <v>100.0</v>
      </c>
    </row>
    <row r="185" ht="15.75" customHeight="1"/>
    <row r="186" ht="15.75" customHeight="1">
      <c r="A186" s="11" t="s">
        <v>32</v>
      </c>
      <c r="B186" s="10">
        <v>1732.0</v>
      </c>
      <c r="C186" s="11">
        <v>100.0</v>
      </c>
    </row>
    <row r="187" ht="15.75" customHeight="1"/>
    <row r="188" ht="15.75" customHeight="1"/>
    <row r="189" ht="15.75" customHeight="1"/>
    <row r="190" ht="43.5" customHeight="1">
      <c r="A190" s="22" t="s">
        <v>515</v>
      </c>
      <c r="B190" s="22"/>
      <c r="C190" s="22"/>
      <c r="D190" s="22"/>
      <c r="E190" s="72"/>
      <c r="F190" s="72"/>
      <c r="G190" s="72"/>
      <c r="H190" s="8" t="s">
        <v>508</v>
      </c>
      <c r="I190" s="11" t="s">
        <v>448</v>
      </c>
      <c r="J190" s="11" t="s">
        <v>449</v>
      </c>
      <c r="K190" s="11" t="s">
        <v>493</v>
      </c>
      <c r="M190" s="18" t="s">
        <v>516</v>
      </c>
    </row>
    <row r="191" ht="15.75" customHeight="1">
      <c r="A191" s="49" t="s">
        <v>448</v>
      </c>
      <c r="B191" s="49"/>
      <c r="H191" s="11" t="s">
        <v>513</v>
      </c>
      <c r="I191" s="21">
        <f t="shared" ref="I191:I201" si="7">C196</f>
        <v>9.67</v>
      </c>
      <c r="J191" s="21">
        <f t="shared" ref="J191:J201" si="8">C217</f>
        <v>5.98</v>
      </c>
      <c r="K191" s="21">
        <f t="shared" ref="K191:K201" si="9">C238</f>
        <v>11.23</v>
      </c>
    </row>
    <row r="192" ht="15.75" customHeight="1">
      <c r="A192" s="11" t="s">
        <v>510</v>
      </c>
      <c r="H192" s="11">
        <v>1.0</v>
      </c>
      <c r="I192" s="21">
        <f t="shared" si="7"/>
        <v>6.17</v>
      </c>
      <c r="J192" s="21">
        <f t="shared" si="8"/>
        <v>0.49</v>
      </c>
      <c r="K192" s="21">
        <f t="shared" si="9"/>
        <v>5.99</v>
      </c>
    </row>
    <row r="193" ht="15.75" customHeight="1">
      <c r="A193" s="11" t="s">
        <v>511</v>
      </c>
      <c r="H193" s="11">
        <v>2.0</v>
      </c>
      <c r="I193" s="21">
        <f t="shared" si="7"/>
        <v>10.66</v>
      </c>
      <c r="J193" s="21">
        <f t="shared" si="8"/>
        <v>4.84</v>
      </c>
      <c r="K193" s="21">
        <f t="shared" si="9"/>
        <v>11.09</v>
      </c>
    </row>
    <row r="194" ht="15.75" customHeight="1">
      <c r="A194" s="11" t="s">
        <v>512</v>
      </c>
      <c r="B194" s="11" t="s">
        <v>23</v>
      </c>
      <c r="C194" s="11" t="s">
        <v>24</v>
      </c>
      <c r="D194" s="11" t="s">
        <v>25</v>
      </c>
      <c r="H194" s="11">
        <v>3.0</v>
      </c>
      <c r="I194" s="21">
        <f t="shared" si="7"/>
        <v>11.42</v>
      </c>
      <c r="J194" s="21">
        <f t="shared" si="8"/>
        <v>2.04</v>
      </c>
      <c r="K194" s="21">
        <f t="shared" si="9"/>
        <v>8.73</v>
      </c>
    </row>
    <row r="195" ht="15.75" customHeight="1">
      <c r="H195" s="11">
        <v>4.0</v>
      </c>
      <c r="I195" s="21">
        <f t="shared" si="7"/>
        <v>9.23</v>
      </c>
      <c r="J195" s="21">
        <f t="shared" si="8"/>
        <v>6.48</v>
      </c>
      <c r="K195" s="21">
        <f t="shared" si="9"/>
        <v>7.01</v>
      </c>
    </row>
    <row r="196" ht="15.75" customHeight="1">
      <c r="A196" s="11" t="s">
        <v>517</v>
      </c>
      <c r="B196" s="11">
        <v>68.5828379</v>
      </c>
      <c r="C196" s="11">
        <v>9.67</v>
      </c>
      <c r="D196" s="11">
        <v>9.67</v>
      </c>
      <c r="H196" s="11">
        <v>5.0</v>
      </c>
      <c r="I196" s="21">
        <f t="shared" si="7"/>
        <v>17.87</v>
      </c>
      <c r="J196" s="21">
        <f t="shared" si="8"/>
        <v>37.56</v>
      </c>
      <c r="K196" s="21">
        <f t="shared" si="9"/>
        <v>19.46</v>
      </c>
    </row>
    <row r="197" ht="15.75" customHeight="1">
      <c r="A197" s="11">
        <v>1.0</v>
      </c>
      <c r="B197" s="11">
        <v>43.7502889</v>
      </c>
      <c r="C197" s="11">
        <v>6.17</v>
      </c>
      <c r="D197" s="11">
        <v>15.84</v>
      </c>
      <c r="H197" s="11">
        <v>6.0</v>
      </c>
      <c r="I197" s="21">
        <f t="shared" si="7"/>
        <v>11.74</v>
      </c>
      <c r="J197" s="21">
        <f t="shared" si="8"/>
        <v>13.39</v>
      </c>
      <c r="K197" s="21">
        <f t="shared" si="9"/>
        <v>8.9</v>
      </c>
    </row>
    <row r="198" ht="15.75" customHeight="1">
      <c r="A198" s="11">
        <v>2.0</v>
      </c>
      <c r="B198" s="11">
        <v>75.5666546</v>
      </c>
      <c r="C198" s="11">
        <v>10.66</v>
      </c>
      <c r="D198" s="11">
        <v>26.5</v>
      </c>
      <c r="H198" s="11">
        <v>7.0</v>
      </c>
      <c r="I198" s="21">
        <f t="shared" si="7"/>
        <v>9.13</v>
      </c>
      <c r="J198" s="21">
        <f t="shared" si="8"/>
        <v>20.72</v>
      </c>
      <c r="K198" s="21">
        <f t="shared" si="9"/>
        <v>10.2</v>
      </c>
    </row>
    <row r="199" ht="15.75" customHeight="1">
      <c r="A199" s="11">
        <v>3.0</v>
      </c>
      <c r="B199" s="11">
        <v>80.96044328</v>
      </c>
      <c r="C199" s="11">
        <v>11.42</v>
      </c>
      <c r="D199" s="11">
        <v>37.92</v>
      </c>
      <c r="H199" s="11">
        <v>8.0</v>
      </c>
      <c r="I199" s="21">
        <f t="shared" si="7"/>
        <v>5.43</v>
      </c>
      <c r="J199" s="21">
        <f t="shared" si="8"/>
        <v>6.49</v>
      </c>
      <c r="K199" s="21">
        <f t="shared" si="9"/>
        <v>9.82</v>
      </c>
    </row>
    <row r="200" ht="15.75" customHeight="1">
      <c r="A200" s="11">
        <v>4.0</v>
      </c>
      <c r="B200" s="11">
        <v>65.4126067</v>
      </c>
      <c r="C200" s="11">
        <v>9.23</v>
      </c>
      <c r="D200" s="11">
        <v>47.15</v>
      </c>
      <c r="H200" s="11">
        <v>9.0</v>
      </c>
      <c r="I200" s="21">
        <f t="shared" si="7"/>
        <v>2.47</v>
      </c>
      <c r="J200" s="21">
        <f t="shared" si="8"/>
        <v>1.19</v>
      </c>
      <c r="K200" s="21">
        <f t="shared" si="9"/>
        <v>4.79</v>
      </c>
    </row>
    <row r="201" ht="15.75" customHeight="1">
      <c r="A201" s="11">
        <v>5.0</v>
      </c>
      <c r="B201" s="11">
        <v>126.715383</v>
      </c>
      <c r="C201" s="11">
        <v>17.87</v>
      </c>
      <c r="D201" s="11">
        <v>65.02</v>
      </c>
      <c r="H201" s="11" t="s">
        <v>514</v>
      </c>
      <c r="I201" s="21">
        <f t="shared" si="7"/>
        <v>6.21</v>
      </c>
      <c r="J201" s="21">
        <f t="shared" si="8"/>
        <v>0.81</v>
      </c>
      <c r="K201" s="21">
        <f t="shared" si="9"/>
        <v>2.78</v>
      </c>
    </row>
    <row r="202" ht="15.75" customHeight="1">
      <c r="A202" s="11">
        <v>6.0</v>
      </c>
      <c r="B202" s="11">
        <v>83.2433063</v>
      </c>
      <c r="C202" s="11">
        <v>11.74</v>
      </c>
      <c r="D202" s="11">
        <v>76.76</v>
      </c>
    </row>
    <row r="203" ht="15.75" customHeight="1">
      <c r="A203" s="11">
        <v>7.0</v>
      </c>
      <c r="B203" s="11">
        <v>64.7223634</v>
      </c>
      <c r="C203" s="11">
        <v>9.13</v>
      </c>
      <c r="D203" s="11">
        <v>85.89</v>
      </c>
    </row>
    <row r="204" ht="15.75" customHeight="1">
      <c r="A204" s="11">
        <v>8.0</v>
      </c>
      <c r="B204" s="11">
        <v>38.4968864</v>
      </c>
      <c r="C204" s="11">
        <v>5.43</v>
      </c>
      <c r="D204" s="11">
        <v>91.32</v>
      </c>
    </row>
    <row r="205" ht="15.75" customHeight="1">
      <c r="A205" s="11">
        <v>9.0</v>
      </c>
      <c r="B205" s="11">
        <v>17.4963081</v>
      </c>
      <c r="C205" s="11">
        <v>2.47</v>
      </c>
      <c r="D205" s="11">
        <v>93.79</v>
      </c>
    </row>
    <row r="206" ht="15.75" customHeight="1">
      <c r="A206" s="11" t="s">
        <v>518</v>
      </c>
      <c r="B206" s="11">
        <v>44.0529211</v>
      </c>
      <c r="C206" s="11">
        <v>6.21</v>
      </c>
      <c r="D206" s="11">
        <v>100.0</v>
      </c>
    </row>
    <row r="207" ht="15.75" customHeight="1"/>
    <row r="208" ht="15.75" customHeight="1">
      <c r="A208" s="11" t="s">
        <v>32</v>
      </c>
      <c r="B208" s="11">
        <v>709.0</v>
      </c>
      <c r="C208" s="11">
        <v>100.0</v>
      </c>
    </row>
    <row r="209" ht="15.75" customHeight="1"/>
    <row r="210" ht="15.75" customHeight="1"/>
    <row r="211" ht="15.75" customHeight="1">
      <c r="A211" s="49" t="s">
        <v>449</v>
      </c>
      <c r="B211" s="49"/>
    </row>
    <row r="212" ht="15.75" customHeight="1"/>
    <row r="213" ht="15.75" customHeight="1">
      <c r="A213" s="11" t="s">
        <v>510</v>
      </c>
    </row>
    <row r="214" ht="15.75" customHeight="1">
      <c r="A214" s="11" t="s">
        <v>511</v>
      </c>
    </row>
    <row r="215" ht="15.75" customHeight="1">
      <c r="A215" s="11" t="s">
        <v>512</v>
      </c>
      <c r="B215" s="11" t="s">
        <v>23</v>
      </c>
      <c r="C215" s="11" t="s">
        <v>24</v>
      </c>
      <c r="D215" s="11" t="s">
        <v>25</v>
      </c>
    </row>
    <row r="216" ht="15.75" customHeight="1"/>
    <row r="217" ht="15.75" customHeight="1">
      <c r="A217" s="11" t="s">
        <v>517</v>
      </c>
      <c r="B217" s="11">
        <v>3.40942666</v>
      </c>
      <c r="C217" s="11">
        <v>5.98</v>
      </c>
      <c r="D217" s="11">
        <v>5.98</v>
      </c>
    </row>
    <row r="218" ht="15.75" customHeight="1">
      <c r="A218" s="11">
        <v>1.0</v>
      </c>
      <c r="B218" s="11">
        <v>0.279394055</v>
      </c>
      <c r="C218" s="11">
        <v>0.49</v>
      </c>
      <c r="D218" s="11">
        <v>6.47</v>
      </c>
    </row>
    <row r="219" ht="15.75" customHeight="1">
      <c r="A219" s="11">
        <v>2.0</v>
      </c>
      <c r="B219" s="11">
        <v>2.7607644</v>
      </c>
      <c r="C219" s="11">
        <v>4.84</v>
      </c>
      <c r="D219" s="11">
        <v>11.32</v>
      </c>
    </row>
    <row r="220" ht="15.75" customHeight="1">
      <c r="A220" s="11">
        <v>3.0</v>
      </c>
      <c r="B220" s="11">
        <v>1.16316241</v>
      </c>
      <c r="C220" s="11">
        <v>2.04</v>
      </c>
      <c r="D220" s="11">
        <v>13.36</v>
      </c>
    </row>
    <row r="221" ht="15.75" customHeight="1">
      <c r="A221" s="11">
        <v>4.0</v>
      </c>
      <c r="B221" s="11">
        <v>3.69245792</v>
      </c>
      <c r="C221" s="11">
        <v>6.48</v>
      </c>
      <c r="D221" s="11">
        <v>19.83</v>
      </c>
    </row>
    <row r="222" ht="15.75" customHeight="1">
      <c r="A222" s="11">
        <v>5.0</v>
      </c>
      <c r="B222" s="11">
        <v>21.4095399</v>
      </c>
      <c r="C222" s="11">
        <v>37.56</v>
      </c>
      <c r="D222" s="11">
        <v>57.39</v>
      </c>
    </row>
    <row r="223" ht="15.75" customHeight="1">
      <c r="A223" s="11">
        <v>6.0</v>
      </c>
      <c r="B223" s="11">
        <v>7.63164867</v>
      </c>
      <c r="C223" s="11">
        <v>13.39</v>
      </c>
      <c r="D223" s="11">
        <v>70.78</v>
      </c>
    </row>
    <row r="224" ht="15.75" customHeight="1">
      <c r="A224" s="11">
        <v>7.0</v>
      </c>
      <c r="B224" s="11">
        <v>11.8123382</v>
      </c>
      <c r="C224" s="11">
        <v>20.72</v>
      </c>
      <c r="D224" s="11">
        <v>91.51</v>
      </c>
    </row>
    <row r="225" ht="15.75" customHeight="1">
      <c r="A225" s="11">
        <v>8.0</v>
      </c>
      <c r="B225" s="11">
        <v>3.699150694</v>
      </c>
      <c r="C225" s="11">
        <v>6.49</v>
      </c>
      <c r="D225" s="11">
        <v>98.0</v>
      </c>
    </row>
    <row r="226" ht="15.75" customHeight="1">
      <c r="A226" s="11">
        <v>9.0</v>
      </c>
      <c r="B226" s="11">
        <v>0.677870317</v>
      </c>
      <c r="C226" s="11">
        <v>1.19</v>
      </c>
      <c r="D226" s="11">
        <v>99.19</v>
      </c>
    </row>
    <row r="227" ht="15.75" customHeight="1">
      <c r="A227" s="11" t="s">
        <v>518</v>
      </c>
      <c r="B227" s="11">
        <v>0.46424684</v>
      </c>
      <c r="C227" s="11">
        <v>0.81</v>
      </c>
      <c r="D227" s="11">
        <v>100.0</v>
      </c>
    </row>
    <row r="228" ht="15.75" customHeight="1"/>
    <row r="229" ht="15.75" customHeight="1">
      <c r="A229" s="11" t="s">
        <v>32</v>
      </c>
      <c r="B229" s="11">
        <v>57.0</v>
      </c>
      <c r="C229" s="11">
        <v>100.0</v>
      </c>
    </row>
    <row r="230" ht="15.75" customHeight="1"/>
    <row r="231" ht="15.75" customHeight="1"/>
    <row r="232" ht="15.75" customHeight="1">
      <c r="A232" s="49" t="s">
        <v>493</v>
      </c>
      <c r="B232" s="49"/>
    </row>
    <row r="233" ht="15.75" customHeight="1"/>
    <row r="234" ht="15.75" customHeight="1">
      <c r="A234" s="11" t="s">
        <v>510</v>
      </c>
    </row>
    <row r="235" ht="15.75" customHeight="1">
      <c r="A235" s="11" t="s">
        <v>511</v>
      </c>
    </row>
    <row r="236" ht="15.75" customHeight="1">
      <c r="A236" s="11" t="s">
        <v>512</v>
      </c>
      <c r="B236" s="11" t="s">
        <v>23</v>
      </c>
      <c r="C236" s="11" t="s">
        <v>24</v>
      </c>
      <c r="D236" s="11" t="s">
        <v>25</v>
      </c>
    </row>
    <row r="237" ht="15.75" customHeight="1"/>
    <row r="238" ht="15.75" customHeight="1">
      <c r="A238" s="11" t="s">
        <v>517</v>
      </c>
      <c r="B238" s="11">
        <v>106.316708</v>
      </c>
      <c r="C238" s="11">
        <v>11.23</v>
      </c>
      <c r="D238" s="11">
        <v>11.23</v>
      </c>
    </row>
    <row r="239" ht="15.75" customHeight="1">
      <c r="A239" s="11">
        <v>1.0</v>
      </c>
      <c r="B239" s="11">
        <v>56.7243482</v>
      </c>
      <c r="C239" s="11">
        <v>5.99</v>
      </c>
      <c r="D239" s="11">
        <v>17.22</v>
      </c>
    </row>
    <row r="240" ht="15.75" customHeight="1">
      <c r="A240" s="11">
        <v>2.0</v>
      </c>
      <c r="B240" s="11">
        <v>105.053071</v>
      </c>
      <c r="C240" s="11">
        <v>11.09</v>
      </c>
      <c r="D240" s="11">
        <v>28.31</v>
      </c>
    </row>
    <row r="241" ht="15.75" customHeight="1">
      <c r="A241" s="11">
        <v>3.0</v>
      </c>
      <c r="B241" s="11">
        <v>82.6336576</v>
      </c>
      <c r="C241" s="11">
        <v>8.73</v>
      </c>
      <c r="D241" s="11">
        <v>37.04</v>
      </c>
    </row>
    <row r="242" ht="15.75" customHeight="1">
      <c r="A242" s="11">
        <v>4.0</v>
      </c>
      <c r="B242" s="11">
        <v>66.3716152</v>
      </c>
      <c r="C242" s="11">
        <v>7.01</v>
      </c>
      <c r="D242" s="11">
        <v>44.04</v>
      </c>
    </row>
    <row r="243" ht="15.75" customHeight="1">
      <c r="A243" s="11">
        <v>5.0</v>
      </c>
      <c r="B243" s="11">
        <v>184.256</v>
      </c>
      <c r="C243" s="11">
        <v>19.46</v>
      </c>
      <c r="D243" s="11">
        <v>63.5</v>
      </c>
    </row>
    <row r="244" ht="15.75" customHeight="1">
      <c r="A244" s="11">
        <v>6.0</v>
      </c>
      <c r="B244" s="11">
        <v>84.2929892</v>
      </c>
      <c r="C244" s="11">
        <v>8.9</v>
      </c>
      <c r="D244" s="11">
        <v>72.4</v>
      </c>
    </row>
    <row r="245" ht="15.75" customHeight="1">
      <c r="A245" s="11">
        <v>7.0</v>
      </c>
      <c r="B245" s="11">
        <v>96.624095</v>
      </c>
      <c r="C245" s="11">
        <v>10.2</v>
      </c>
      <c r="D245" s="11">
        <v>82.61</v>
      </c>
    </row>
    <row r="246" ht="15.75" customHeight="1">
      <c r="A246" s="11">
        <v>8.0</v>
      </c>
      <c r="B246" s="11">
        <v>93.0053079</v>
      </c>
      <c r="C246" s="11">
        <v>9.82</v>
      </c>
      <c r="D246" s="11">
        <v>92.43</v>
      </c>
    </row>
    <row r="247" ht="15.75" customHeight="1">
      <c r="A247" s="11">
        <v>9.0</v>
      </c>
      <c r="B247" s="11">
        <v>45.363831</v>
      </c>
      <c r="C247" s="11">
        <v>4.79</v>
      </c>
      <c r="D247" s="11">
        <v>97.22</v>
      </c>
    </row>
    <row r="248" ht="15.75" customHeight="1">
      <c r="A248" s="11" t="s">
        <v>518</v>
      </c>
      <c r="B248" s="11">
        <v>26.3583768</v>
      </c>
      <c r="C248" s="11">
        <v>2.78</v>
      </c>
      <c r="D248" s="11">
        <v>100.0</v>
      </c>
    </row>
    <row r="249" ht="15.75" customHeight="1"/>
    <row r="250" ht="15.75" customHeight="1">
      <c r="A250" s="11" t="s">
        <v>32</v>
      </c>
      <c r="B250" s="11">
        <v>947.0</v>
      </c>
      <c r="C250" s="11">
        <v>100.0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F3:O3"/>
    <mergeCell ref="N22:W22"/>
    <mergeCell ref="G85:P85"/>
    <mergeCell ref="N104:W104"/>
    <mergeCell ref="F169:O169"/>
    <mergeCell ref="M190:V19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27" width="8.71"/>
  </cols>
  <sheetData>
    <row r="1">
      <c r="A1" s="1" t="s">
        <v>0</v>
      </c>
      <c r="B1" s="2">
        <v>45153.0</v>
      </c>
    </row>
    <row r="2">
      <c r="A2" s="5" t="s">
        <v>519</v>
      </c>
      <c r="B2" s="6"/>
    </row>
    <row r="3" ht="30.75" customHeight="1">
      <c r="H3" s="18" t="s">
        <v>520</v>
      </c>
    </row>
    <row r="4">
      <c r="A4" s="22" t="s">
        <v>521</v>
      </c>
      <c r="B4" s="22"/>
      <c r="C4" s="22"/>
      <c r="D4" s="22"/>
      <c r="E4" s="22"/>
      <c r="F4" s="22"/>
    </row>
    <row r="5">
      <c r="A5" s="11" t="s">
        <v>522</v>
      </c>
    </row>
    <row r="6">
      <c r="A6" s="11" t="s">
        <v>523</v>
      </c>
    </row>
    <row r="7">
      <c r="A7" s="11" t="s">
        <v>524</v>
      </c>
      <c r="B7" s="11" t="s">
        <v>23</v>
      </c>
      <c r="C7" s="11" t="s">
        <v>24</v>
      </c>
      <c r="D7" s="11" t="s">
        <v>25</v>
      </c>
    </row>
    <row r="9">
      <c r="A9" s="11" t="s">
        <v>525</v>
      </c>
      <c r="B9" s="11">
        <v>31.5898649</v>
      </c>
      <c r="C9" s="27">
        <v>1.82</v>
      </c>
      <c r="D9" s="11">
        <v>1.82</v>
      </c>
    </row>
    <row r="10">
      <c r="A10" s="11">
        <v>1.0</v>
      </c>
      <c r="B10" s="11">
        <v>13.9348937</v>
      </c>
      <c r="C10" s="27">
        <v>0.8</v>
      </c>
      <c r="D10" s="11">
        <v>2.62</v>
      </c>
    </row>
    <row r="11">
      <c r="A11" s="11">
        <v>2.0</v>
      </c>
      <c r="B11" s="11">
        <v>48.9959304</v>
      </c>
      <c r="C11" s="27">
        <v>2.82</v>
      </c>
      <c r="D11" s="11">
        <v>5.44</v>
      </c>
    </row>
    <row r="12">
      <c r="A12" s="11">
        <v>3.0</v>
      </c>
      <c r="B12" s="11">
        <v>54.5108135</v>
      </c>
      <c r="C12" s="27">
        <v>3.13</v>
      </c>
      <c r="D12" s="11">
        <v>8.57</v>
      </c>
    </row>
    <row r="13">
      <c r="A13" s="11">
        <v>4.0</v>
      </c>
      <c r="B13" s="11">
        <v>76.1635055</v>
      </c>
      <c r="C13" s="27">
        <v>4.38</v>
      </c>
      <c r="D13" s="11">
        <v>12.95</v>
      </c>
    </row>
    <row r="14">
      <c r="A14" s="11">
        <v>5.0</v>
      </c>
      <c r="B14" s="11">
        <v>196.421917</v>
      </c>
      <c r="C14" s="27">
        <v>11.3</v>
      </c>
      <c r="D14" s="11">
        <v>24.24</v>
      </c>
    </row>
    <row r="15">
      <c r="A15" s="11">
        <v>6.0</v>
      </c>
      <c r="B15" s="11">
        <v>242.853484</v>
      </c>
      <c r="C15" s="27">
        <v>13.97</v>
      </c>
      <c r="D15" s="11">
        <v>38.21</v>
      </c>
    </row>
    <row r="16">
      <c r="A16" s="11">
        <v>7.0</v>
      </c>
      <c r="B16" s="11">
        <v>376.805727</v>
      </c>
      <c r="C16" s="27">
        <v>21.67</v>
      </c>
      <c r="D16" s="11">
        <v>59.88</v>
      </c>
    </row>
    <row r="17">
      <c r="A17" s="11">
        <v>8.0</v>
      </c>
      <c r="B17" s="11">
        <v>379.05162</v>
      </c>
      <c r="C17" s="27">
        <v>21.8</v>
      </c>
      <c r="D17" s="11">
        <v>81.67</v>
      </c>
    </row>
    <row r="18">
      <c r="A18" s="11">
        <v>9.0</v>
      </c>
      <c r="B18" s="11">
        <v>165.639181</v>
      </c>
      <c r="C18" s="27">
        <v>9.52</v>
      </c>
      <c r="D18" s="11">
        <v>91.2</v>
      </c>
    </row>
    <row r="19">
      <c r="A19" s="11" t="s">
        <v>526</v>
      </c>
      <c r="B19" s="11">
        <v>153.033063</v>
      </c>
      <c r="C19" s="27">
        <v>8.8</v>
      </c>
      <c r="D19" s="11">
        <v>100.0</v>
      </c>
    </row>
    <row r="21" ht="15.75" customHeight="1">
      <c r="A21" s="11" t="s">
        <v>32</v>
      </c>
      <c r="B21" s="10">
        <v>1739.0</v>
      </c>
      <c r="C21" s="11">
        <v>100.0</v>
      </c>
    </row>
    <row r="22" ht="15.75" customHeight="1"/>
    <row r="23" ht="37.5" customHeight="1">
      <c r="N23" s="18" t="s">
        <v>527</v>
      </c>
    </row>
    <row r="24" ht="15.75" customHeight="1">
      <c r="A24" s="22" t="s">
        <v>528</v>
      </c>
      <c r="B24" s="22"/>
      <c r="C24" s="22"/>
      <c r="D24" s="22"/>
      <c r="E24" s="22"/>
      <c r="F24" s="22"/>
      <c r="G24" s="30"/>
      <c r="H24" s="30"/>
      <c r="I24" s="30"/>
      <c r="J24" s="8"/>
      <c r="K24" s="11" t="s">
        <v>448</v>
      </c>
      <c r="L24" s="11" t="s">
        <v>449</v>
      </c>
      <c r="M24" s="11" t="s">
        <v>493</v>
      </c>
    </row>
    <row r="25" ht="15.75" customHeight="1">
      <c r="A25" s="49" t="s">
        <v>448</v>
      </c>
      <c r="B25" s="49"/>
      <c r="C25" s="30"/>
      <c r="J25" s="11" t="s">
        <v>525</v>
      </c>
      <c r="K25" s="21">
        <f t="shared" ref="K25:K35" si="1">C30</f>
        <v>1.81</v>
      </c>
      <c r="L25" s="21">
        <f t="shared" ref="L25:L35" si="2">C51</f>
        <v>1.36</v>
      </c>
      <c r="M25" s="21">
        <f t="shared" ref="M25:M35" si="3">C72</f>
        <v>1.74</v>
      </c>
    </row>
    <row r="26" ht="15.75" customHeight="1">
      <c r="A26" s="11" t="s">
        <v>522</v>
      </c>
      <c r="J26" s="11">
        <v>1.0</v>
      </c>
      <c r="K26" s="21">
        <f t="shared" si="1"/>
        <v>0.97</v>
      </c>
      <c r="L26" s="21" t="str">
        <f t="shared" si="2"/>
        <v/>
      </c>
      <c r="M26" s="21">
        <f t="shared" si="3"/>
        <v>0.71</v>
      </c>
    </row>
    <row r="27" ht="15.75" customHeight="1">
      <c r="A27" s="11" t="s">
        <v>523</v>
      </c>
      <c r="J27" s="11">
        <v>2.0</v>
      </c>
      <c r="K27" s="21">
        <f t="shared" si="1"/>
        <v>3.55</v>
      </c>
      <c r="L27" s="21">
        <f t="shared" si="2"/>
        <v>1.68</v>
      </c>
      <c r="M27" s="21">
        <f t="shared" si="3"/>
        <v>2.21</v>
      </c>
    </row>
    <row r="28" ht="15.75" customHeight="1">
      <c r="A28" s="11" t="s">
        <v>524</v>
      </c>
      <c r="B28" s="11" t="s">
        <v>23</v>
      </c>
      <c r="C28" s="11" t="s">
        <v>24</v>
      </c>
      <c r="D28" s="11" t="s">
        <v>25</v>
      </c>
      <c r="J28" s="11">
        <v>3.0</v>
      </c>
      <c r="K28" s="21">
        <f t="shared" si="1"/>
        <v>2.85</v>
      </c>
      <c r="L28" s="21">
        <f t="shared" si="2"/>
        <v>4.04</v>
      </c>
      <c r="M28" s="21">
        <f t="shared" si="3"/>
        <v>3.35</v>
      </c>
    </row>
    <row r="29" ht="15.75" customHeight="1">
      <c r="J29" s="11">
        <v>4.0</v>
      </c>
      <c r="K29" s="21">
        <f t="shared" si="1"/>
        <v>4.59</v>
      </c>
      <c r="L29" s="21">
        <f t="shared" si="2"/>
        <v>4.36</v>
      </c>
      <c r="M29" s="21">
        <f t="shared" si="3"/>
        <v>4.21</v>
      </c>
    </row>
    <row r="30" ht="15.75" customHeight="1">
      <c r="A30" s="11" t="s">
        <v>525</v>
      </c>
      <c r="B30" s="11">
        <v>12.78057775</v>
      </c>
      <c r="C30" s="11">
        <v>1.81</v>
      </c>
      <c r="D30" s="11">
        <v>1.81</v>
      </c>
      <c r="J30" s="11">
        <v>5.0</v>
      </c>
      <c r="K30" s="21">
        <f t="shared" si="1"/>
        <v>12.94</v>
      </c>
      <c r="L30" s="21">
        <f t="shared" si="2"/>
        <v>14.96</v>
      </c>
      <c r="M30" s="21">
        <f t="shared" si="3"/>
        <v>9.4</v>
      </c>
    </row>
    <row r="31" ht="15.75" customHeight="1">
      <c r="A31" s="11">
        <v>1.0</v>
      </c>
      <c r="B31" s="11">
        <v>6.832496736</v>
      </c>
      <c r="C31" s="11">
        <v>0.97</v>
      </c>
      <c r="D31" s="11">
        <v>2.77</v>
      </c>
      <c r="J31" s="11">
        <v>6.0</v>
      </c>
      <c r="K31" s="21">
        <f t="shared" si="1"/>
        <v>11.84</v>
      </c>
      <c r="L31" s="21">
        <f t="shared" si="2"/>
        <v>18.75</v>
      </c>
      <c r="M31" s="21">
        <f t="shared" si="3"/>
        <v>15.56</v>
      </c>
    </row>
    <row r="32" ht="15.75" customHeight="1">
      <c r="A32" s="11">
        <v>2.0</v>
      </c>
      <c r="B32" s="11">
        <v>25.0633686</v>
      </c>
      <c r="C32" s="11">
        <v>3.55</v>
      </c>
      <c r="D32" s="11">
        <v>6.32</v>
      </c>
      <c r="J32" s="11">
        <v>7.0</v>
      </c>
      <c r="K32" s="21">
        <f t="shared" si="1"/>
        <v>23.95</v>
      </c>
      <c r="L32" s="21">
        <f t="shared" si="2"/>
        <v>14.88</v>
      </c>
      <c r="M32" s="21">
        <f t="shared" si="3"/>
        <v>20.08</v>
      </c>
    </row>
    <row r="33" ht="15.75" customHeight="1">
      <c r="A33" s="11">
        <v>3.0</v>
      </c>
      <c r="B33" s="11">
        <v>20.1772129</v>
      </c>
      <c r="C33" s="11">
        <v>2.85</v>
      </c>
      <c r="D33" s="11">
        <v>9.17</v>
      </c>
      <c r="J33" s="11">
        <v>8.0</v>
      </c>
      <c r="K33" s="21">
        <f t="shared" si="1"/>
        <v>22.59</v>
      </c>
      <c r="L33" s="21">
        <f t="shared" si="2"/>
        <v>24.15</v>
      </c>
      <c r="M33" s="21">
        <f t="shared" si="3"/>
        <v>21.02</v>
      </c>
    </row>
    <row r="34" ht="15.75" customHeight="1">
      <c r="A34" s="11">
        <v>4.0</v>
      </c>
      <c r="B34" s="11">
        <v>32.4535533</v>
      </c>
      <c r="C34" s="11">
        <v>4.59</v>
      </c>
      <c r="D34" s="11">
        <v>13.76</v>
      </c>
      <c r="J34" s="11">
        <v>9.0</v>
      </c>
      <c r="K34" s="21">
        <f t="shared" si="1"/>
        <v>7.58</v>
      </c>
      <c r="L34" s="21">
        <f t="shared" si="2"/>
        <v>10.62</v>
      </c>
      <c r="M34" s="21">
        <f t="shared" si="3"/>
        <v>11.42</v>
      </c>
    </row>
    <row r="35" ht="15.75" customHeight="1">
      <c r="A35" s="11">
        <v>5.0</v>
      </c>
      <c r="B35" s="11">
        <v>91.485223</v>
      </c>
      <c r="C35" s="11">
        <v>12.94</v>
      </c>
      <c r="D35" s="11">
        <v>26.7</v>
      </c>
      <c r="J35" s="11" t="s">
        <v>526</v>
      </c>
      <c r="K35" s="21">
        <f t="shared" si="1"/>
        <v>7.34</v>
      </c>
      <c r="L35" s="21">
        <f t="shared" si="2"/>
        <v>5.19</v>
      </c>
      <c r="M35" s="21">
        <f t="shared" si="3"/>
        <v>10.31</v>
      </c>
    </row>
    <row r="36" ht="15.75" customHeight="1">
      <c r="A36" s="11">
        <v>6.0</v>
      </c>
      <c r="B36" s="11">
        <v>83.6847051</v>
      </c>
      <c r="C36" s="11">
        <v>11.84</v>
      </c>
      <c r="D36" s="11">
        <v>38.54</v>
      </c>
    </row>
    <row r="37" ht="15.75" customHeight="1">
      <c r="A37" s="11">
        <v>7.0</v>
      </c>
      <c r="B37" s="11">
        <v>169.3502614</v>
      </c>
      <c r="C37" s="11">
        <v>23.95</v>
      </c>
      <c r="D37" s="11">
        <v>62.49</v>
      </c>
    </row>
    <row r="38" ht="15.75" customHeight="1">
      <c r="A38" s="11">
        <v>8.0</v>
      </c>
      <c r="B38" s="11">
        <v>159.699052</v>
      </c>
      <c r="C38" s="11">
        <v>22.59</v>
      </c>
      <c r="D38" s="11">
        <v>85.08</v>
      </c>
    </row>
    <row r="39" ht="15.75" customHeight="1">
      <c r="A39" s="11">
        <v>9.0</v>
      </c>
      <c r="B39" s="11">
        <v>53.5787732</v>
      </c>
      <c r="C39" s="11">
        <v>7.58</v>
      </c>
      <c r="D39" s="11">
        <v>92.66</v>
      </c>
    </row>
    <row r="40" ht="15.75" customHeight="1">
      <c r="A40" s="11" t="s">
        <v>526</v>
      </c>
      <c r="B40" s="11">
        <v>51.8947757</v>
      </c>
      <c r="C40" s="11">
        <v>7.34</v>
      </c>
      <c r="D40" s="11">
        <v>100.0</v>
      </c>
    </row>
    <row r="41" ht="15.75" customHeight="1"/>
    <row r="42" ht="15.75" customHeight="1">
      <c r="A42" s="11" t="s">
        <v>32</v>
      </c>
      <c r="B42" s="11">
        <v>707.0</v>
      </c>
      <c r="C42" s="11">
        <v>100.0</v>
      </c>
    </row>
    <row r="43" ht="15.75" customHeight="1"/>
    <row r="44" ht="15.75" customHeight="1"/>
    <row r="45" ht="15.75" customHeight="1">
      <c r="A45" s="49" t="s">
        <v>449</v>
      </c>
      <c r="B45" s="49"/>
      <c r="C45" s="30"/>
      <c r="D45" s="30"/>
      <c r="E45" s="30"/>
      <c r="F45" s="30"/>
    </row>
    <row r="46" ht="15.75" customHeight="1"/>
    <row r="47" ht="15.75" customHeight="1">
      <c r="A47" s="11" t="s">
        <v>522</v>
      </c>
    </row>
    <row r="48" ht="15.75" customHeight="1">
      <c r="A48" s="11" t="s">
        <v>523</v>
      </c>
    </row>
    <row r="49" ht="15.75" customHeight="1">
      <c r="A49" s="11" t="s">
        <v>524</v>
      </c>
      <c r="B49" s="11" t="s">
        <v>23</v>
      </c>
      <c r="C49" s="11" t="s">
        <v>24</v>
      </c>
      <c r="D49" s="11" t="s">
        <v>25</v>
      </c>
    </row>
    <row r="50" ht="15.75" customHeight="1"/>
    <row r="51" ht="15.75" customHeight="1">
      <c r="A51" s="11" t="s">
        <v>525</v>
      </c>
      <c r="B51" s="11">
        <v>0.78933589</v>
      </c>
      <c r="C51" s="11">
        <v>1.36</v>
      </c>
      <c r="D51" s="11">
        <v>1.36</v>
      </c>
    </row>
    <row r="52" ht="15.75" customHeight="1">
      <c r="A52" s="11">
        <v>1.0</v>
      </c>
    </row>
    <row r="53" ht="15.75" customHeight="1">
      <c r="A53" s="11">
        <v>2.0</v>
      </c>
      <c r="B53" s="11">
        <v>0.973204193</v>
      </c>
      <c r="C53" s="11">
        <v>1.68</v>
      </c>
      <c r="D53" s="11">
        <v>3.04</v>
      </c>
    </row>
    <row r="54" ht="15.75" customHeight="1">
      <c r="A54" s="11">
        <v>3.0</v>
      </c>
      <c r="B54" s="11">
        <v>2.345248096</v>
      </c>
      <c r="C54" s="11">
        <v>4.04</v>
      </c>
      <c r="D54" s="11">
        <v>7.08</v>
      </c>
    </row>
    <row r="55" ht="15.75" customHeight="1">
      <c r="A55" s="11">
        <v>4.0</v>
      </c>
      <c r="B55" s="11">
        <v>2.53044561</v>
      </c>
      <c r="C55" s="11">
        <v>4.36</v>
      </c>
      <c r="D55" s="11">
        <v>11.45</v>
      </c>
    </row>
    <row r="56" ht="15.75" customHeight="1">
      <c r="A56" s="11">
        <v>5.0</v>
      </c>
      <c r="B56" s="11">
        <v>8.67429591</v>
      </c>
      <c r="C56" s="11">
        <v>14.96</v>
      </c>
      <c r="D56" s="11">
        <v>26.4</v>
      </c>
    </row>
    <row r="57" ht="15.75" customHeight="1">
      <c r="A57" s="11">
        <v>6.0</v>
      </c>
      <c r="B57" s="11">
        <v>10.8769247</v>
      </c>
      <c r="C57" s="11">
        <v>18.75</v>
      </c>
      <c r="D57" s="11">
        <v>45.15</v>
      </c>
    </row>
    <row r="58" ht="15.75" customHeight="1">
      <c r="A58" s="11">
        <v>7.0</v>
      </c>
      <c r="B58" s="11">
        <v>8.62855016</v>
      </c>
      <c r="C58" s="11">
        <v>14.88</v>
      </c>
      <c r="D58" s="11">
        <v>60.03</v>
      </c>
    </row>
    <row r="59" ht="15.75" customHeight="1">
      <c r="A59" s="11">
        <v>8.0</v>
      </c>
      <c r="B59" s="11">
        <v>14.0084325</v>
      </c>
      <c r="C59" s="11">
        <v>24.15</v>
      </c>
      <c r="D59" s="11">
        <v>84.18</v>
      </c>
    </row>
    <row r="60" ht="15.75" customHeight="1">
      <c r="A60" s="11">
        <v>9.0</v>
      </c>
      <c r="B60" s="11">
        <v>6.16244137</v>
      </c>
      <c r="C60" s="11">
        <v>10.62</v>
      </c>
      <c r="D60" s="11">
        <v>94.81</v>
      </c>
    </row>
    <row r="61" ht="15.75" customHeight="1">
      <c r="A61" s="11" t="s">
        <v>526</v>
      </c>
      <c r="B61" s="11">
        <v>3.01112156</v>
      </c>
      <c r="C61" s="11">
        <v>5.19</v>
      </c>
      <c r="D61" s="11">
        <v>100.0</v>
      </c>
    </row>
    <row r="62" ht="15.75" customHeight="1"/>
    <row r="63" ht="15.75" customHeight="1">
      <c r="A63" s="11" t="s">
        <v>32</v>
      </c>
      <c r="B63" s="11">
        <v>58.0</v>
      </c>
      <c r="C63" s="11">
        <v>100.0</v>
      </c>
    </row>
    <row r="64" ht="15.75" customHeight="1"/>
    <row r="65" ht="15.75" customHeight="1"/>
    <row r="66" ht="15.75" customHeight="1">
      <c r="A66" s="49" t="s">
        <v>493</v>
      </c>
      <c r="B66" s="49"/>
    </row>
    <row r="67" ht="15.75" customHeight="1"/>
    <row r="68" ht="15.75" customHeight="1">
      <c r="A68" s="11" t="s">
        <v>522</v>
      </c>
    </row>
    <row r="69" ht="15.75" customHeight="1">
      <c r="A69" s="11" t="s">
        <v>523</v>
      </c>
    </row>
    <row r="70" ht="15.75" customHeight="1">
      <c r="A70" s="11" t="s">
        <v>524</v>
      </c>
      <c r="B70" s="11" t="s">
        <v>23</v>
      </c>
      <c r="C70" s="11" t="s">
        <v>24</v>
      </c>
      <c r="D70" s="11" t="s">
        <v>25</v>
      </c>
    </row>
    <row r="71" ht="15.75" customHeight="1"/>
    <row r="72" ht="15.75" customHeight="1">
      <c r="A72" s="11" t="s">
        <v>525</v>
      </c>
      <c r="B72" s="11">
        <v>16.5663652</v>
      </c>
      <c r="C72" s="11">
        <v>1.74</v>
      </c>
      <c r="D72" s="11">
        <v>1.74</v>
      </c>
    </row>
    <row r="73" ht="15.75" customHeight="1">
      <c r="A73" s="11">
        <v>1.0</v>
      </c>
      <c r="B73" s="11">
        <v>6.76056976</v>
      </c>
      <c r="C73" s="11">
        <v>0.71</v>
      </c>
      <c r="D73" s="11">
        <v>2.45</v>
      </c>
    </row>
    <row r="74" ht="15.75" customHeight="1">
      <c r="A74" s="11">
        <v>2.0</v>
      </c>
      <c r="B74" s="11">
        <v>21.1280144</v>
      </c>
      <c r="C74" s="11">
        <v>2.21</v>
      </c>
      <c r="D74" s="11">
        <v>4.66</v>
      </c>
    </row>
    <row r="75" ht="15.75" customHeight="1">
      <c r="A75" s="11">
        <v>3.0</v>
      </c>
      <c r="B75" s="11">
        <v>31.9187633</v>
      </c>
      <c r="C75" s="11">
        <v>3.35</v>
      </c>
      <c r="D75" s="11">
        <v>8.01</v>
      </c>
    </row>
    <row r="76" ht="15.75" customHeight="1">
      <c r="A76" s="11">
        <v>4.0</v>
      </c>
      <c r="B76" s="11">
        <v>40.1763599</v>
      </c>
      <c r="C76" s="11">
        <v>4.21</v>
      </c>
      <c r="D76" s="11">
        <v>12.22</v>
      </c>
    </row>
    <row r="77" ht="15.75" customHeight="1">
      <c r="A77" s="11">
        <v>5.0</v>
      </c>
      <c r="B77" s="11">
        <v>89.6474001</v>
      </c>
      <c r="C77" s="11">
        <v>9.4</v>
      </c>
      <c r="D77" s="11">
        <v>21.61</v>
      </c>
    </row>
    <row r="78" ht="15.75" customHeight="1">
      <c r="A78" s="11">
        <v>6.0</v>
      </c>
      <c r="B78" s="11">
        <v>148.401776</v>
      </c>
      <c r="C78" s="11">
        <v>15.56</v>
      </c>
      <c r="D78" s="11">
        <v>37.17</v>
      </c>
    </row>
    <row r="79" ht="15.75" customHeight="1">
      <c r="A79" s="11">
        <v>7.0</v>
      </c>
      <c r="B79" s="11">
        <v>191.588273</v>
      </c>
      <c r="C79" s="11">
        <v>20.08</v>
      </c>
      <c r="D79" s="11">
        <v>57.25</v>
      </c>
    </row>
    <row r="80" ht="15.75" customHeight="1">
      <c r="A80" s="11">
        <v>8.0</v>
      </c>
      <c r="B80" s="11">
        <v>200.517597</v>
      </c>
      <c r="C80" s="11">
        <v>21.02</v>
      </c>
      <c r="D80" s="11">
        <v>78.27</v>
      </c>
    </row>
    <row r="81" ht="15.75" customHeight="1">
      <c r="A81" s="11">
        <v>9.0</v>
      </c>
      <c r="B81" s="11">
        <v>108.937381</v>
      </c>
      <c r="C81" s="11">
        <v>11.42</v>
      </c>
      <c r="D81" s="11">
        <v>89.69</v>
      </c>
    </row>
    <row r="82" ht="15.75" customHeight="1">
      <c r="A82" s="11" t="s">
        <v>526</v>
      </c>
      <c r="B82" s="11">
        <v>98.3574998</v>
      </c>
      <c r="C82" s="11">
        <v>10.31</v>
      </c>
      <c r="D82" s="11">
        <v>100.0</v>
      </c>
    </row>
    <row r="83" ht="15.75" customHeight="1"/>
    <row r="84" ht="15.75" customHeight="1">
      <c r="A84" s="11" t="s">
        <v>32</v>
      </c>
      <c r="B84" s="11">
        <v>954.0</v>
      </c>
      <c r="C84" s="11">
        <v>100.0</v>
      </c>
    </row>
    <row r="85" ht="15.75" customHeight="1"/>
    <row r="86" ht="15.75" customHeight="1"/>
    <row r="87" ht="15.75" customHeight="1">
      <c r="A87" s="22" t="s">
        <v>529</v>
      </c>
      <c r="B87" s="22"/>
      <c r="C87" s="22"/>
      <c r="D87" s="22"/>
      <c r="E87" s="22"/>
      <c r="F87" s="22"/>
      <c r="G87" s="22"/>
      <c r="H87" s="22"/>
      <c r="I87" s="22"/>
    </row>
    <row r="88" ht="34.5" customHeight="1">
      <c r="G88" s="18" t="s">
        <v>530</v>
      </c>
    </row>
    <row r="89" ht="15.75" customHeight="1">
      <c r="A89" s="11" t="s">
        <v>531</v>
      </c>
    </row>
    <row r="90" ht="15.75" customHeight="1">
      <c r="A90" s="11" t="s">
        <v>532</v>
      </c>
    </row>
    <row r="91" ht="15.75" customHeight="1">
      <c r="A91" s="11" t="s">
        <v>533</v>
      </c>
    </row>
    <row r="92" ht="15.75" customHeight="1">
      <c r="A92" s="11" t="s">
        <v>534</v>
      </c>
      <c r="B92" s="11" t="s">
        <v>23</v>
      </c>
      <c r="C92" s="11" t="s">
        <v>24</v>
      </c>
      <c r="D92" s="11" t="s">
        <v>25</v>
      </c>
    </row>
    <row r="93" ht="15.75" customHeight="1"/>
    <row r="94" ht="15.75" customHeight="1">
      <c r="A94" s="11" t="s">
        <v>525</v>
      </c>
      <c r="B94" s="11">
        <v>48.3660483</v>
      </c>
      <c r="C94" s="11">
        <v>2.79</v>
      </c>
      <c r="D94" s="11">
        <v>2.79</v>
      </c>
    </row>
    <row r="95" ht="15.75" customHeight="1">
      <c r="A95" s="11">
        <v>1.0</v>
      </c>
      <c r="B95" s="11">
        <v>24.7877955</v>
      </c>
      <c r="C95" s="11">
        <v>1.43</v>
      </c>
      <c r="D95" s="11">
        <v>4.22</v>
      </c>
    </row>
    <row r="96" ht="15.75" customHeight="1">
      <c r="A96" s="11">
        <v>2.0</v>
      </c>
      <c r="B96" s="11">
        <v>70.8944282</v>
      </c>
      <c r="C96" s="11">
        <v>4.09</v>
      </c>
      <c r="D96" s="11">
        <v>8.3</v>
      </c>
    </row>
    <row r="97" ht="15.75" customHeight="1">
      <c r="A97" s="11">
        <v>3.0</v>
      </c>
      <c r="B97" s="11">
        <v>83.6529542</v>
      </c>
      <c r="C97" s="11">
        <v>4.82</v>
      </c>
      <c r="D97" s="11">
        <v>13.12</v>
      </c>
    </row>
    <row r="98" ht="15.75" customHeight="1">
      <c r="A98" s="11">
        <v>4.0</v>
      </c>
      <c r="B98" s="11">
        <v>78.50717657</v>
      </c>
      <c r="C98" s="11">
        <v>4.52</v>
      </c>
      <c r="D98" s="11">
        <v>17.65</v>
      </c>
    </row>
    <row r="99" ht="15.75" customHeight="1">
      <c r="A99" s="11">
        <v>5.0</v>
      </c>
      <c r="B99" s="11">
        <v>177.215029</v>
      </c>
      <c r="C99" s="11">
        <v>10.21</v>
      </c>
      <c r="D99" s="11">
        <v>27.86</v>
      </c>
    </row>
    <row r="100" ht="15.75" customHeight="1">
      <c r="A100" s="11">
        <v>6.0</v>
      </c>
      <c r="B100" s="11">
        <v>192.567934</v>
      </c>
      <c r="C100" s="11">
        <v>11.1</v>
      </c>
      <c r="D100" s="11">
        <v>38.96</v>
      </c>
    </row>
    <row r="101" ht="15.75" customHeight="1">
      <c r="A101" s="11">
        <v>7.0</v>
      </c>
      <c r="B101" s="11">
        <v>343.604649</v>
      </c>
      <c r="C101" s="11">
        <v>19.8</v>
      </c>
      <c r="D101" s="11">
        <v>58.77</v>
      </c>
    </row>
    <row r="102" ht="15.75" customHeight="1">
      <c r="A102" s="11">
        <v>8.0</v>
      </c>
      <c r="B102" s="11">
        <v>399.279591</v>
      </c>
      <c r="C102" s="11">
        <v>23.01</v>
      </c>
      <c r="D102" s="11">
        <v>81.78</v>
      </c>
    </row>
    <row r="103" ht="15.75" customHeight="1">
      <c r="A103" s="11">
        <v>9.0</v>
      </c>
      <c r="B103" s="11">
        <v>201.5612939</v>
      </c>
      <c r="C103" s="11">
        <v>11.62</v>
      </c>
      <c r="D103" s="11">
        <v>93.4</v>
      </c>
    </row>
    <row r="104" ht="15.75" customHeight="1">
      <c r="A104" s="11" t="s">
        <v>526</v>
      </c>
      <c r="B104" s="11">
        <v>114.5631</v>
      </c>
      <c r="C104" s="11">
        <v>6.6</v>
      </c>
      <c r="D104" s="11">
        <v>100.0</v>
      </c>
    </row>
    <row r="105" ht="15.75" customHeight="1"/>
    <row r="106" ht="15.75" customHeight="1">
      <c r="A106" s="11" t="s">
        <v>32</v>
      </c>
      <c r="B106" s="10">
        <v>1735.0</v>
      </c>
      <c r="C106" s="11">
        <v>100.0</v>
      </c>
    </row>
    <row r="107" ht="15.75" customHeight="1"/>
    <row r="108" ht="15.75" customHeight="1"/>
    <row r="109" ht="15.75" customHeight="1">
      <c r="A109" s="22" t="s">
        <v>535</v>
      </c>
      <c r="B109" s="22"/>
      <c r="C109" s="22"/>
      <c r="D109" s="22"/>
      <c r="E109" s="22"/>
      <c r="F109" s="22"/>
      <c r="G109" s="22"/>
      <c r="H109" s="22"/>
      <c r="I109" s="22"/>
      <c r="J109" s="30"/>
      <c r="K109" s="30"/>
      <c r="L109" s="30"/>
    </row>
    <row r="110" ht="39.0" customHeight="1">
      <c r="M110" s="18" t="s">
        <v>536</v>
      </c>
    </row>
    <row r="111" ht="15.75" customHeight="1">
      <c r="A111" s="49" t="s">
        <v>448</v>
      </c>
      <c r="B111" s="49"/>
      <c r="C111" s="30"/>
      <c r="H111" s="8"/>
      <c r="I111" s="11" t="s">
        <v>448</v>
      </c>
      <c r="J111" s="11" t="s">
        <v>449</v>
      </c>
      <c r="K111" s="11" t="s">
        <v>493</v>
      </c>
    </row>
    <row r="112" ht="15.75" customHeight="1">
      <c r="A112" s="11" t="s">
        <v>531</v>
      </c>
      <c r="H112" s="11" t="s">
        <v>525</v>
      </c>
      <c r="I112" s="21">
        <f t="shared" ref="I112:I122" si="4">C117</f>
        <v>2.05</v>
      </c>
      <c r="J112" s="21">
        <f t="shared" ref="J112:J122" si="5">C138</f>
        <v>4.76</v>
      </c>
      <c r="K112" s="21">
        <f t="shared" ref="K112:K122" si="6">C160</f>
        <v>3.35</v>
      </c>
    </row>
    <row r="113" ht="15.75" customHeight="1">
      <c r="A113" s="11" t="s">
        <v>532</v>
      </c>
      <c r="H113" s="11">
        <v>1.0</v>
      </c>
      <c r="I113" s="21">
        <f t="shared" si="4"/>
        <v>2.06</v>
      </c>
      <c r="J113" s="21">
        <f t="shared" si="5"/>
        <v>1.35</v>
      </c>
      <c r="K113" s="21">
        <f t="shared" si="6"/>
        <v>0.85</v>
      </c>
    </row>
    <row r="114" ht="15.75" customHeight="1">
      <c r="A114" s="11" t="s">
        <v>533</v>
      </c>
      <c r="H114" s="11">
        <v>2.0</v>
      </c>
      <c r="I114" s="21">
        <f t="shared" si="4"/>
        <v>6.04</v>
      </c>
      <c r="J114" s="21">
        <f t="shared" si="5"/>
        <v>3.09</v>
      </c>
      <c r="K114" s="21">
        <f t="shared" si="6"/>
        <v>2.36</v>
      </c>
    </row>
    <row r="115" ht="15.75" customHeight="1">
      <c r="A115" s="11" t="s">
        <v>534</v>
      </c>
      <c r="B115" s="11" t="s">
        <v>23</v>
      </c>
      <c r="C115" s="11" t="s">
        <v>24</v>
      </c>
      <c r="D115" s="11" t="s">
        <v>25</v>
      </c>
      <c r="H115" s="11">
        <v>3.0</v>
      </c>
      <c r="I115" s="21">
        <f t="shared" si="4"/>
        <v>5.42</v>
      </c>
      <c r="J115" s="21">
        <f t="shared" si="5"/>
        <v>6.34</v>
      </c>
      <c r="K115" s="21">
        <f t="shared" si="6"/>
        <v>4.2</v>
      </c>
    </row>
    <row r="116" ht="15.75" customHeight="1">
      <c r="H116" s="11">
        <v>4.0</v>
      </c>
      <c r="I116" s="21">
        <f t="shared" si="4"/>
        <v>4.96</v>
      </c>
      <c r="J116" s="21">
        <f t="shared" si="5"/>
        <v>3.24</v>
      </c>
      <c r="K116" s="21">
        <f t="shared" si="6"/>
        <v>4.26</v>
      </c>
    </row>
    <row r="117" ht="15.75" customHeight="1">
      <c r="A117" s="11" t="s">
        <v>525</v>
      </c>
      <c r="B117" s="11">
        <v>14.4903998</v>
      </c>
      <c r="C117" s="11">
        <v>2.05</v>
      </c>
      <c r="D117" s="11">
        <v>2.05</v>
      </c>
      <c r="H117" s="11">
        <v>5.0</v>
      </c>
      <c r="I117" s="21">
        <f t="shared" si="4"/>
        <v>9.36</v>
      </c>
      <c r="J117" s="21">
        <f t="shared" si="5"/>
        <v>6.35</v>
      </c>
      <c r="K117" s="21">
        <f t="shared" si="6"/>
        <v>11.16</v>
      </c>
    </row>
    <row r="118" ht="15.75" customHeight="1">
      <c r="A118" s="11">
        <v>1.0</v>
      </c>
      <c r="B118" s="11">
        <v>14.6188971</v>
      </c>
      <c r="C118" s="11">
        <v>2.06</v>
      </c>
      <c r="D118" s="11">
        <v>4.11</v>
      </c>
      <c r="H118" s="11">
        <v>6.0</v>
      </c>
      <c r="I118" s="21">
        <f t="shared" si="4"/>
        <v>11.55</v>
      </c>
      <c r="J118" s="21">
        <f t="shared" si="5"/>
        <v>20.74</v>
      </c>
      <c r="K118" s="21">
        <f t="shared" si="6"/>
        <v>10.11</v>
      </c>
    </row>
    <row r="119" ht="15.75" customHeight="1">
      <c r="A119" s="11">
        <v>2.0</v>
      </c>
      <c r="B119" s="11">
        <v>42.738437</v>
      </c>
      <c r="C119" s="11">
        <v>6.04</v>
      </c>
      <c r="D119" s="11">
        <v>10.15</v>
      </c>
      <c r="H119" s="11">
        <v>7.0</v>
      </c>
      <c r="I119" s="21">
        <f t="shared" si="4"/>
        <v>20.72</v>
      </c>
      <c r="J119" s="21">
        <f t="shared" si="5"/>
        <v>12.03</v>
      </c>
      <c r="K119" s="21">
        <f t="shared" si="6"/>
        <v>19.29</v>
      </c>
    </row>
    <row r="120" ht="15.75" customHeight="1">
      <c r="A120" s="11">
        <v>3.0</v>
      </c>
      <c r="B120" s="11">
        <v>38.356794</v>
      </c>
      <c r="C120" s="11">
        <v>5.42</v>
      </c>
      <c r="D120" s="11">
        <v>15.57</v>
      </c>
      <c r="H120" s="11">
        <v>8.0</v>
      </c>
      <c r="I120" s="21">
        <f t="shared" si="4"/>
        <v>23.84</v>
      </c>
      <c r="J120" s="21">
        <f t="shared" si="5"/>
        <v>13.87</v>
      </c>
      <c r="K120" s="21">
        <f t="shared" si="6"/>
        <v>22.92</v>
      </c>
    </row>
    <row r="121" ht="15.75" customHeight="1">
      <c r="A121" s="11">
        <v>4.0</v>
      </c>
      <c r="B121" s="11">
        <v>35.1321028</v>
      </c>
      <c r="C121" s="11">
        <v>4.96</v>
      </c>
      <c r="D121" s="11">
        <v>20.53</v>
      </c>
      <c r="H121" s="11">
        <v>9.0</v>
      </c>
      <c r="I121" s="21">
        <f t="shared" si="4"/>
        <v>7.76</v>
      </c>
      <c r="J121" s="21">
        <f t="shared" si="5"/>
        <v>19.46</v>
      </c>
      <c r="K121" s="21">
        <f t="shared" si="6"/>
        <v>14.94</v>
      </c>
    </row>
    <row r="122" ht="15.75" customHeight="1">
      <c r="A122" s="11">
        <v>5.0</v>
      </c>
      <c r="B122" s="11">
        <v>66.2457098</v>
      </c>
      <c r="C122" s="11">
        <v>9.36</v>
      </c>
      <c r="D122" s="11">
        <v>29.88</v>
      </c>
      <c r="H122" s="11" t="s">
        <v>526</v>
      </c>
      <c r="I122" s="21">
        <f t="shared" si="4"/>
        <v>6.25</v>
      </c>
      <c r="J122" s="21">
        <f t="shared" si="5"/>
        <v>8.77</v>
      </c>
      <c r="K122" s="21">
        <f t="shared" si="6"/>
        <v>6.55</v>
      </c>
    </row>
    <row r="123" ht="15.75" customHeight="1">
      <c r="A123" s="11">
        <v>6.0</v>
      </c>
      <c r="B123" s="11">
        <v>81.7906032</v>
      </c>
      <c r="C123" s="11">
        <v>11.55</v>
      </c>
      <c r="D123" s="11">
        <v>41.44</v>
      </c>
    </row>
    <row r="124" ht="15.75" customHeight="1">
      <c r="A124" s="11">
        <v>7.0</v>
      </c>
      <c r="B124" s="11">
        <v>146.717718</v>
      </c>
      <c r="C124" s="11">
        <v>20.72</v>
      </c>
      <c r="D124" s="11">
        <v>62.16</v>
      </c>
    </row>
    <row r="125" ht="15.75" customHeight="1">
      <c r="A125" s="11">
        <v>8.0</v>
      </c>
      <c r="B125" s="11">
        <v>168.772656</v>
      </c>
      <c r="C125" s="11">
        <v>23.84</v>
      </c>
      <c r="D125" s="11">
        <v>86.0</v>
      </c>
    </row>
    <row r="126" ht="15.75" customHeight="1">
      <c r="A126" s="11">
        <v>9.0</v>
      </c>
      <c r="B126" s="11">
        <v>54.9190531</v>
      </c>
      <c r="C126" s="11">
        <v>7.76</v>
      </c>
      <c r="D126" s="11">
        <v>93.75</v>
      </c>
    </row>
    <row r="127" ht="15.75" customHeight="1">
      <c r="A127" s="11" t="s">
        <v>526</v>
      </c>
      <c r="B127" s="11">
        <v>44.217629</v>
      </c>
      <c r="C127" s="11">
        <v>6.25</v>
      </c>
      <c r="D127" s="11">
        <v>100.0</v>
      </c>
    </row>
    <row r="128" ht="15.75" customHeight="1"/>
    <row r="129" ht="15.75" customHeight="1">
      <c r="A129" s="11" t="s">
        <v>32</v>
      </c>
      <c r="B129" s="11">
        <v>708.0</v>
      </c>
      <c r="C129" s="11">
        <v>100.0</v>
      </c>
    </row>
    <row r="130" ht="15.75" customHeight="1"/>
    <row r="131" ht="15.75" customHeight="1"/>
    <row r="132" ht="15.75" customHeight="1">
      <c r="A132" s="49" t="s">
        <v>449</v>
      </c>
      <c r="B132" s="49"/>
      <c r="C132" s="30"/>
      <c r="D132" s="30"/>
      <c r="E132" s="30"/>
      <c r="F132" s="30"/>
    </row>
    <row r="133" ht="15.75" customHeight="1">
      <c r="A133" s="11" t="s">
        <v>531</v>
      </c>
    </row>
    <row r="134" ht="15.75" customHeight="1">
      <c r="A134" s="11" t="s">
        <v>532</v>
      </c>
    </row>
    <row r="135" ht="15.75" customHeight="1">
      <c r="A135" s="11" t="s">
        <v>533</v>
      </c>
    </row>
    <row r="136" ht="15.75" customHeight="1">
      <c r="A136" s="11" t="s">
        <v>534</v>
      </c>
      <c r="B136" s="11" t="s">
        <v>23</v>
      </c>
      <c r="C136" s="11" t="s">
        <v>24</v>
      </c>
      <c r="D136" s="11" t="s">
        <v>25</v>
      </c>
    </row>
    <row r="137" ht="15.75" customHeight="1"/>
    <row r="138" ht="15.75" customHeight="1">
      <c r="A138" s="11" t="s">
        <v>525</v>
      </c>
      <c r="B138" s="11">
        <v>2.71423013</v>
      </c>
      <c r="C138" s="11">
        <v>4.76</v>
      </c>
      <c r="D138" s="11">
        <v>4.76</v>
      </c>
    </row>
    <row r="139" ht="15.75" customHeight="1">
      <c r="A139" s="11">
        <v>1.0</v>
      </c>
      <c r="B139" s="11">
        <v>0.7669458095</v>
      </c>
      <c r="C139" s="11">
        <v>1.35</v>
      </c>
      <c r="D139" s="11">
        <v>6.11</v>
      </c>
    </row>
    <row r="140" ht="15.75" customHeight="1">
      <c r="A140" s="11">
        <v>2.0</v>
      </c>
      <c r="B140" s="11">
        <v>1.7593522</v>
      </c>
      <c r="C140" s="11">
        <v>3.09</v>
      </c>
      <c r="D140" s="11">
        <v>9.19</v>
      </c>
    </row>
    <row r="141" ht="15.75" customHeight="1">
      <c r="A141" s="11">
        <v>3.0</v>
      </c>
      <c r="B141" s="11">
        <v>3.6154146</v>
      </c>
      <c r="C141" s="11">
        <v>6.34</v>
      </c>
      <c r="D141" s="11">
        <v>15.54</v>
      </c>
    </row>
    <row r="142" ht="15.75" customHeight="1">
      <c r="A142" s="11">
        <v>4.0</v>
      </c>
      <c r="B142" s="11">
        <v>1.84527501</v>
      </c>
      <c r="C142" s="11">
        <v>3.24</v>
      </c>
      <c r="D142" s="11">
        <v>18.77</v>
      </c>
    </row>
    <row r="143" ht="15.75" customHeight="1">
      <c r="A143" s="11">
        <v>5.0</v>
      </c>
      <c r="B143" s="11">
        <v>3.6182634</v>
      </c>
      <c r="C143" s="11">
        <v>6.35</v>
      </c>
      <c r="D143" s="11">
        <v>25.12</v>
      </c>
    </row>
    <row r="144" ht="15.75" customHeight="1">
      <c r="A144" s="11">
        <v>6.0</v>
      </c>
      <c r="B144" s="11">
        <v>11.82325726</v>
      </c>
      <c r="C144" s="11">
        <v>20.74</v>
      </c>
      <c r="D144" s="11">
        <v>45.86</v>
      </c>
    </row>
    <row r="145" ht="15.75" customHeight="1">
      <c r="A145" s="11">
        <v>7.0</v>
      </c>
      <c r="B145" s="11">
        <v>6.85791853</v>
      </c>
      <c r="C145" s="11">
        <v>12.03</v>
      </c>
      <c r="D145" s="11">
        <v>57.9</v>
      </c>
    </row>
    <row r="146" ht="15.75" customHeight="1">
      <c r="A146" s="11">
        <v>8.0</v>
      </c>
      <c r="B146" s="11">
        <v>7.90587355</v>
      </c>
      <c r="C146" s="11">
        <v>13.87</v>
      </c>
      <c r="D146" s="11">
        <v>71.77</v>
      </c>
    </row>
    <row r="147" ht="15.75" customHeight="1">
      <c r="A147" s="11">
        <v>9.0</v>
      </c>
      <c r="B147" s="11">
        <v>11.0932122</v>
      </c>
      <c r="C147" s="11">
        <v>19.46</v>
      </c>
      <c r="D147" s="11">
        <v>91.23</v>
      </c>
    </row>
    <row r="148" ht="15.75" customHeight="1">
      <c r="A148" s="11" t="s">
        <v>526</v>
      </c>
      <c r="B148" s="11">
        <v>5.00025732</v>
      </c>
      <c r="C148" s="11">
        <v>8.77</v>
      </c>
      <c r="D148" s="11">
        <v>100.0</v>
      </c>
    </row>
    <row r="149" ht="15.75" customHeight="1"/>
    <row r="150" ht="15.75" customHeight="1">
      <c r="A150" s="11" t="s">
        <v>32</v>
      </c>
      <c r="B150" s="11">
        <v>57.0</v>
      </c>
      <c r="C150" s="11">
        <v>100.0</v>
      </c>
    </row>
    <row r="151" ht="15.75" customHeight="1"/>
    <row r="152" ht="15.75" customHeight="1"/>
    <row r="153" ht="15.75" customHeight="1">
      <c r="A153" s="49" t="s">
        <v>493</v>
      </c>
      <c r="B153" s="49"/>
    </row>
    <row r="154" ht="15.75" customHeight="1"/>
    <row r="155" ht="15.75" customHeight="1">
      <c r="A155" s="11" t="s">
        <v>531</v>
      </c>
    </row>
    <row r="156" ht="15.75" customHeight="1">
      <c r="A156" s="11" t="s">
        <v>532</v>
      </c>
    </row>
    <row r="157" ht="15.75" customHeight="1">
      <c r="A157" s="11" t="s">
        <v>533</v>
      </c>
    </row>
    <row r="158" ht="15.75" customHeight="1">
      <c r="A158" s="11" t="s">
        <v>534</v>
      </c>
      <c r="B158" s="11" t="s">
        <v>23</v>
      </c>
      <c r="C158" s="11" t="s">
        <v>24</v>
      </c>
      <c r="D158" s="11" t="s">
        <v>25</v>
      </c>
    </row>
    <row r="159" ht="15.75" customHeight="1"/>
    <row r="160" ht="15.75" customHeight="1">
      <c r="A160" s="11" t="s">
        <v>525</v>
      </c>
      <c r="B160" s="11">
        <v>31.8549535</v>
      </c>
      <c r="C160" s="11">
        <v>3.35</v>
      </c>
      <c r="D160" s="11">
        <v>3.35</v>
      </c>
    </row>
    <row r="161" ht="15.75" customHeight="1">
      <c r="A161" s="11">
        <v>1.0</v>
      </c>
      <c r="B161" s="11">
        <v>8.09986008</v>
      </c>
      <c r="C161" s="11">
        <v>0.85</v>
      </c>
      <c r="D161" s="11">
        <v>4.21</v>
      </c>
    </row>
    <row r="162" ht="15.75" customHeight="1">
      <c r="A162" s="11">
        <v>2.0</v>
      </c>
      <c r="B162" s="11">
        <v>22.4414098</v>
      </c>
      <c r="C162" s="11">
        <v>2.36</v>
      </c>
      <c r="D162" s="11">
        <v>6.57</v>
      </c>
    </row>
    <row r="163" ht="15.75" customHeight="1">
      <c r="A163" s="11">
        <v>3.0</v>
      </c>
      <c r="B163" s="11">
        <v>39.8800816</v>
      </c>
      <c r="C163" s="11">
        <v>4.2</v>
      </c>
      <c r="D163" s="11">
        <v>10.77</v>
      </c>
    </row>
    <row r="164" ht="15.75" customHeight="1">
      <c r="A164" s="11">
        <v>4.0</v>
      </c>
      <c r="B164" s="11">
        <v>40.43097372</v>
      </c>
      <c r="C164" s="11">
        <v>4.26</v>
      </c>
      <c r="D164" s="11">
        <v>15.02</v>
      </c>
    </row>
    <row r="165" ht="15.75" customHeight="1">
      <c r="A165" s="11">
        <v>5.0</v>
      </c>
      <c r="B165" s="11">
        <v>106.0185943</v>
      </c>
      <c r="C165" s="11">
        <v>11.16</v>
      </c>
      <c r="D165" s="11">
        <v>26.18</v>
      </c>
    </row>
    <row r="166" ht="15.75" customHeight="1">
      <c r="A166" s="11">
        <v>6.0</v>
      </c>
      <c r="B166" s="11">
        <v>96.0703516</v>
      </c>
      <c r="C166" s="11">
        <v>10.11</v>
      </c>
      <c r="D166" s="11">
        <v>36.29</v>
      </c>
    </row>
    <row r="167" ht="15.75" customHeight="1">
      <c r="A167" s="11">
        <v>7.0</v>
      </c>
      <c r="B167" s="11">
        <v>183.294868</v>
      </c>
      <c r="C167" s="11">
        <v>19.29</v>
      </c>
      <c r="D167" s="11">
        <v>55.59</v>
      </c>
    </row>
    <row r="168" ht="15.75" customHeight="1">
      <c r="A168" s="11">
        <v>8.0</v>
      </c>
      <c r="B168" s="11">
        <v>217.707271</v>
      </c>
      <c r="C168" s="11">
        <v>22.92</v>
      </c>
      <c r="D168" s="11">
        <v>78.51</v>
      </c>
    </row>
    <row r="169" ht="15.75" customHeight="1">
      <c r="A169" s="11">
        <v>9.0</v>
      </c>
      <c r="B169" s="11">
        <v>141.942801</v>
      </c>
      <c r="C169" s="11">
        <v>14.94</v>
      </c>
      <c r="D169" s="11">
        <v>93.45</v>
      </c>
    </row>
    <row r="170" ht="15.75" customHeight="1">
      <c r="A170" s="11" t="s">
        <v>526</v>
      </c>
      <c r="B170" s="11">
        <v>62.2588349</v>
      </c>
      <c r="C170" s="11">
        <v>6.55</v>
      </c>
      <c r="D170" s="11">
        <v>100.0</v>
      </c>
    </row>
    <row r="171" ht="15.75" customHeight="1"/>
    <row r="172" ht="15.75" customHeight="1">
      <c r="A172" s="11" t="s">
        <v>32</v>
      </c>
      <c r="B172" s="11">
        <v>950.0</v>
      </c>
      <c r="C172" s="11">
        <v>100.0</v>
      </c>
    </row>
    <row r="173" ht="15.75" customHeight="1"/>
    <row r="174" ht="15.75" customHeight="1"/>
    <row r="175" ht="15.75" customHeight="1"/>
    <row r="176" ht="15.75" customHeight="1"/>
    <row r="177" ht="15.75" customHeight="1">
      <c r="A177" s="22" t="s">
        <v>537</v>
      </c>
      <c r="B177" s="22"/>
      <c r="C177" s="22"/>
      <c r="D177" s="22"/>
      <c r="E177" s="22"/>
      <c r="F177" s="22"/>
      <c r="G177" s="22"/>
      <c r="H177" s="22"/>
      <c r="I177" s="22"/>
      <c r="J177" s="22"/>
    </row>
    <row r="178" ht="36.0" customHeight="1">
      <c r="G178" s="18" t="s">
        <v>538</v>
      </c>
    </row>
    <row r="179" ht="15.75" customHeight="1">
      <c r="A179" s="11" t="s">
        <v>539</v>
      </c>
    </row>
    <row r="180" ht="15.75" customHeight="1">
      <c r="A180" s="11" t="s">
        <v>540</v>
      </c>
    </row>
    <row r="181" ht="15.75" customHeight="1">
      <c r="A181" s="11" t="s">
        <v>541</v>
      </c>
      <c r="B181" s="11" t="s">
        <v>23</v>
      </c>
      <c r="C181" s="11" t="s">
        <v>24</v>
      </c>
      <c r="D181" s="11" t="s">
        <v>25</v>
      </c>
    </row>
    <row r="182" ht="15.75" customHeight="1"/>
    <row r="183" ht="15.75" customHeight="1">
      <c r="A183" s="11" t="s">
        <v>525</v>
      </c>
      <c r="B183" s="11">
        <v>54.9015999</v>
      </c>
      <c r="C183" s="27">
        <v>3.2</v>
      </c>
      <c r="D183" s="11">
        <v>3.2</v>
      </c>
    </row>
    <row r="184" ht="15.75" customHeight="1">
      <c r="A184" s="11">
        <v>1.0</v>
      </c>
      <c r="B184" s="11">
        <v>36.9389729</v>
      </c>
      <c r="C184" s="27">
        <v>2.15</v>
      </c>
      <c r="D184" s="11">
        <v>5.35</v>
      </c>
    </row>
    <row r="185" ht="15.75" customHeight="1">
      <c r="A185" s="11">
        <v>2.0</v>
      </c>
      <c r="B185" s="11">
        <v>71.8091994</v>
      </c>
      <c r="C185" s="27">
        <v>4.18</v>
      </c>
      <c r="D185" s="11">
        <v>9.53</v>
      </c>
    </row>
    <row r="186" ht="15.75" customHeight="1">
      <c r="A186" s="11">
        <v>3.0</v>
      </c>
      <c r="B186" s="11">
        <v>75.715005</v>
      </c>
      <c r="C186" s="27">
        <v>4.41</v>
      </c>
      <c r="D186" s="11">
        <v>13.93</v>
      </c>
    </row>
    <row r="187" ht="15.75" customHeight="1">
      <c r="A187" s="11">
        <v>4.0</v>
      </c>
      <c r="B187" s="11">
        <v>89.4900829</v>
      </c>
      <c r="C187" s="27">
        <v>5.21</v>
      </c>
      <c r="D187" s="11">
        <v>19.14</v>
      </c>
    </row>
    <row r="188" ht="15.75" customHeight="1">
      <c r="A188" s="11">
        <v>5.0</v>
      </c>
      <c r="B188" s="11">
        <v>191.832605</v>
      </c>
      <c r="C188" s="27">
        <v>11.17</v>
      </c>
      <c r="D188" s="11">
        <v>30.31</v>
      </c>
    </row>
    <row r="189" ht="15.75" customHeight="1">
      <c r="A189" s="11">
        <v>6.0</v>
      </c>
      <c r="B189" s="11">
        <v>208.270902</v>
      </c>
      <c r="C189" s="27">
        <v>12.12</v>
      </c>
      <c r="D189" s="11">
        <v>42.43</v>
      </c>
    </row>
    <row r="190" ht="15.75" customHeight="1">
      <c r="A190" s="11">
        <v>7.0</v>
      </c>
      <c r="B190" s="11">
        <v>326.592936</v>
      </c>
      <c r="C190" s="27">
        <v>19.01</v>
      </c>
      <c r="D190" s="11">
        <v>61.44</v>
      </c>
    </row>
    <row r="191" ht="15.75" customHeight="1">
      <c r="A191" s="11">
        <v>8.0</v>
      </c>
      <c r="B191" s="11">
        <v>353.3813047</v>
      </c>
      <c r="C191" s="27">
        <v>20.57</v>
      </c>
      <c r="D191" s="11">
        <v>82.01</v>
      </c>
    </row>
    <row r="192" ht="15.75" customHeight="1">
      <c r="A192" s="11">
        <v>9.0</v>
      </c>
      <c r="B192" s="11">
        <v>151.997857</v>
      </c>
      <c r="C192" s="27">
        <v>8.85</v>
      </c>
      <c r="D192" s="11">
        <v>90.86</v>
      </c>
    </row>
    <row r="193" ht="15.75" customHeight="1">
      <c r="A193" s="11" t="s">
        <v>526</v>
      </c>
      <c r="B193" s="11">
        <v>157.069536</v>
      </c>
      <c r="C193" s="27">
        <v>9.14</v>
      </c>
      <c r="D193" s="11">
        <v>100.0</v>
      </c>
    </row>
    <row r="194" ht="15.75" customHeight="1"/>
    <row r="195" ht="15.75" customHeight="1">
      <c r="A195" s="11" t="s">
        <v>32</v>
      </c>
      <c r="B195" s="10">
        <v>1718.0</v>
      </c>
      <c r="C195" s="11">
        <v>100.0</v>
      </c>
    </row>
    <row r="196" ht="15.75" customHeight="1"/>
    <row r="197" ht="15.75" customHeight="1"/>
    <row r="198" ht="15.75" customHeight="1">
      <c r="A198" s="22" t="s">
        <v>542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30"/>
      <c r="L198" s="30"/>
    </row>
    <row r="199" ht="36.75" customHeight="1">
      <c r="A199" s="49" t="s">
        <v>448</v>
      </c>
      <c r="B199" s="49"/>
      <c r="C199" s="30"/>
      <c r="L199" s="18" t="s">
        <v>543</v>
      </c>
    </row>
    <row r="200" ht="15.75" customHeight="1">
      <c r="A200" s="11" t="s">
        <v>522</v>
      </c>
      <c r="G200" s="8"/>
      <c r="H200" s="11" t="s">
        <v>448</v>
      </c>
      <c r="I200" s="11" t="s">
        <v>449</v>
      </c>
      <c r="J200" s="11" t="s">
        <v>493</v>
      </c>
    </row>
    <row r="201" ht="15.75" customHeight="1">
      <c r="A201" s="11" t="s">
        <v>539</v>
      </c>
      <c r="G201" s="11" t="s">
        <v>525</v>
      </c>
      <c r="H201" s="21">
        <f t="shared" ref="H201:H211" si="7">C205</f>
        <v>3.05</v>
      </c>
      <c r="I201" s="21">
        <f t="shared" ref="I201:I211" si="8">C227</f>
        <v>3.2</v>
      </c>
      <c r="J201" s="21">
        <f t="shared" ref="J201:J211" si="9">C249</f>
        <v>3.28</v>
      </c>
    </row>
    <row r="202" ht="15.75" customHeight="1">
      <c r="A202" s="11" t="s">
        <v>540</v>
      </c>
      <c r="G202" s="11">
        <v>1.0</v>
      </c>
      <c r="H202" s="21">
        <f t="shared" si="7"/>
        <v>2.55</v>
      </c>
      <c r="I202" s="21" t="str">
        <f t="shared" si="8"/>
        <v/>
      </c>
      <c r="J202" s="21">
        <f t="shared" si="9"/>
        <v>1.89</v>
      </c>
    </row>
    <row r="203" ht="15.75" customHeight="1">
      <c r="A203" s="11" t="s">
        <v>541</v>
      </c>
      <c r="B203" s="11" t="s">
        <v>23</v>
      </c>
      <c r="C203" s="11" t="s">
        <v>24</v>
      </c>
      <c r="D203" s="11" t="s">
        <v>25</v>
      </c>
      <c r="G203" s="11">
        <v>2.0</v>
      </c>
      <c r="H203" s="21">
        <f t="shared" si="7"/>
        <v>3.55</v>
      </c>
      <c r="I203" s="21">
        <f t="shared" si="8"/>
        <v>1.37</v>
      </c>
      <c r="J203" s="21">
        <f t="shared" si="9"/>
        <v>4.99</v>
      </c>
    </row>
    <row r="204" ht="15.75" customHeight="1">
      <c r="G204" s="11">
        <v>3.0</v>
      </c>
      <c r="H204" s="21">
        <f t="shared" si="7"/>
        <v>4.53</v>
      </c>
      <c r="I204" s="21">
        <f t="shared" si="8"/>
        <v>8.87</v>
      </c>
      <c r="J204" s="21">
        <f t="shared" si="9"/>
        <v>4.06</v>
      </c>
    </row>
    <row r="205" ht="15.75" customHeight="1">
      <c r="A205" s="11" t="s">
        <v>525</v>
      </c>
      <c r="B205" s="11">
        <v>21.3813584</v>
      </c>
      <c r="C205" s="11">
        <v>3.05</v>
      </c>
      <c r="D205" s="11">
        <v>3.05</v>
      </c>
      <c r="G205" s="11">
        <v>4.0</v>
      </c>
      <c r="H205" s="21">
        <f t="shared" si="7"/>
        <v>5.95</v>
      </c>
      <c r="I205" s="21">
        <f t="shared" si="8"/>
        <v>7.26</v>
      </c>
      <c r="J205" s="21">
        <f t="shared" si="9"/>
        <v>4.37</v>
      </c>
    </row>
    <row r="206" ht="15.75" customHeight="1">
      <c r="A206" s="11">
        <v>1.0</v>
      </c>
      <c r="B206" s="11">
        <v>17.8406492</v>
      </c>
      <c r="C206" s="11">
        <v>2.55</v>
      </c>
      <c r="D206" s="11">
        <v>5.6</v>
      </c>
      <c r="G206" s="11">
        <v>5.0</v>
      </c>
      <c r="H206" s="21">
        <f t="shared" si="7"/>
        <v>8.85</v>
      </c>
      <c r="I206" s="21">
        <f t="shared" si="8"/>
        <v>8.66</v>
      </c>
      <c r="J206" s="21">
        <f t="shared" si="9"/>
        <v>13.48</v>
      </c>
    </row>
    <row r="207" ht="15.75" customHeight="1">
      <c r="A207" s="11">
        <v>2.0</v>
      </c>
      <c r="B207" s="11">
        <v>24.8732254</v>
      </c>
      <c r="C207" s="11">
        <v>3.55</v>
      </c>
      <c r="D207" s="11">
        <v>9.16</v>
      </c>
      <c r="G207" s="11">
        <v>6.0</v>
      </c>
      <c r="H207" s="21">
        <f t="shared" si="7"/>
        <v>12.56</v>
      </c>
      <c r="I207" s="21">
        <f t="shared" si="8"/>
        <v>2.48</v>
      </c>
      <c r="J207" s="21">
        <f t="shared" si="9"/>
        <v>12.3</v>
      </c>
    </row>
    <row r="208" ht="15.75" customHeight="1">
      <c r="A208" s="11">
        <v>3.0</v>
      </c>
      <c r="B208" s="11">
        <v>31.7429145</v>
      </c>
      <c r="C208" s="11">
        <v>4.53</v>
      </c>
      <c r="D208" s="11">
        <v>13.69</v>
      </c>
      <c r="G208" s="11">
        <v>7.0</v>
      </c>
      <c r="H208" s="21">
        <f t="shared" si="7"/>
        <v>22.54</v>
      </c>
      <c r="I208" s="21">
        <f t="shared" si="8"/>
        <v>8.85</v>
      </c>
      <c r="J208" s="21">
        <f t="shared" si="9"/>
        <v>16.44</v>
      </c>
    </row>
    <row r="209" ht="15.75" customHeight="1">
      <c r="A209" s="11">
        <v>4.0</v>
      </c>
      <c r="B209" s="11">
        <v>41.6516386</v>
      </c>
      <c r="C209" s="11">
        <v>5.95</v>
      </c>
      <c r="D209" s="11">
        <v>19.64</v>
      </c>
      <c r="G209" s="11">
        <v>8.0</v>
      </c>
      <c r="H209" s="21">
        <f t="shared" si="7"/>
        <v>21.4</v>
      </c>
      <c r="I209" s="21">
        <f t="shared" si="8"/>
        <v>37.45</v>
      </c>
      <c r="J209" s="21">
        <f t="shared" si="9"/>
        <v>18.87</v>
      </c>
    </row>
    <row r="210" ht="15.75" customHeight="1">
      <c r="A210" s="11">
        <v>5.0</v>
      </c>
      <c r="B210" s="11">
        <v>61.9404591</v>
      </c>
      <c r="C210" s="11">
        <v>8.85</v>
      </c>
      <c r="D210" s="11">
        <v>28.49</v>
      </c>
      <c r="G210" s="11">
        <v>9.0</v>
      </c>
      <c r="H210" s="21">
        <f t="shared" si="7"/>
        <v>6.89</v>
      </c>
      <c r="I210" s="21">
        <f t="shared" si="8"/>
        <v>10.01</v>
      </c>
      <c r="J210" s="21">
        <f t="shared" si="9"/>
        <v>10.3</v>
      </c>
    </row>
    <row r="211" ht="15.75" customHeight="1">
      <c r="A211" s="11">
        <v>6.0</v>
      </c>
      <c r="B211" s="11">
        <v>87.9507509</v>
      </c>
      <c r="C211" s="11">
        <v>12.56</v>
      </c>
      <c r="D211" s="11">
        <v>41.05</v>
      </c>
      <c r="G211" s="11" t="s">
        <v>526</v>
      </c>
      <c r="H211" s="21">
        <f t="shared" si="7"/>
        <v>8.12</v>
      </c>
      <c r="I211" s="21">
        <f t="shared" si="8"/>
        <v>11.86</v>
      </c>
      <c r="J211" s="21">
        <f t="shared" si="9"/>
        <v>10.03</v>
      </c>
    </row>
    <row r="212" ht="15.75" customHeight="1">
      <c r="A212" s="11">
        <v>7.0</v>
      </c>
      <c r="B212" s="11">
        <v>157.754901</v>
      </c>
      <c r="C212" s="11">
        <v>22.54</v>
      </c>
      <c r="D212" s="11">
        <v>63.59</v>
      </c>
    </row>
    <row r="213" ht="15.75" customHeight="1">
      <c r="A213" s="11">
        <v>8.0</v>
      </c>
      <c r="B213" s="11">
        <v>149.7910031</v>
      </c>
      <c r="C213" s="11">
        <v>21.4</v>
      </c>
      <c r="D213" s="11">
        <v>84.99</v>
      </c>
    </row>
    <row r="214" ht="15.75" customHeight="1">
      <c r="A214" s="11">
        <v>9.0</v>
      </c>
      <c r="B214" s="11">
        <v>48.2377705</v>
      </c>
      <c r="C214" s="11">
        <v>6.89</v>
      </c>
      <c r="D214" s="11">
        <v>91.88</v>
      </c>
    </row>
    <row r="215" ht="15.75" customHeight="1">
      <c r="A215" s="11" t="s">
        <v>526</v>
      </c>
      <c r="B215" s="11">
        <v>56.8353291</v>
      </c>
      <c r="C215" s="11">
        <v>8.12</v>
      </c>
      <c r="D215" s="11">
        <v>100.0</v>
      </c>
    </row>
    <row r="216" ht="15.75" customHeight="1"/>
    <row r="217" ht="15.75" customHeight="1">
      <c r="A217" s="11" t="s">
        <v>32</v>
      </c>
      <c r="B217" s="11">
        <v>700.0</v>
      </c>
      <c r="C217" s="11">
        <v>100.0</v>
      </c>
    </row>
    <row r="218" ht="15.75" customHeight="1"/>
    <row r="219" ht="15.75" customHeight="1"/>
    <row r="220" ht="15.75" customHeight="1">
      <c r="A220" s="49" t="s">
        <v>449</v>
      </c>
      <c r="B220" s="49"/>
      <c r="C220" s="30"/>
      <c r="D220" s="30"/>
      <c r="E220" s="30"/>
      <c r="F220" s="30"/>
    </row>
    <row r="221" ht="15.75" customHeight="1"/>
    <row r="222" ht="15.75" customHeight="1">
      <c r="A222" s="11" t="s">
        <v>522</v>
      </c>
    </row>
    <row r="223" ht="15.75" customHeight="1">
      <c r="A223" s="11" t="s">
        <v>539</v>
      </c>
    </row>
    <row r="224" ht="15.75" customHeight="1">
      <c r="A224" s="11" t="s">
        <v>540</v>
      </c>
    </row>
    <row r="225" ht="15.75" customHeight="1">
      <c r="A225" s="11" t="s">
        <v>541</v>
      </c>
      <c r="B225" s="11" t="s">
        <v>23</v>
      </c>
      <c r="C225" s="11" t="s">
        <v>24</v>
      </c>
      <c r="D225" s="11" t="s">
        <v>25</v>
      </c>
    </row>
    <row r="226" ht="15.75" customHeight="1"/>
    <row r="227" ht="15.75" customHeight="1">
      <c r="A227" s="11" t="s">
        <v>525</v>
      </c>
      <c r="B227" s="11">
        <v>1.82482572</v>
      </c>
      <c r="C227" s="11">
        <v>3.2</v>
      </c>
      <c r="D227" s="11">
        <v>3.2</v>
      </c>
    </row>
    <row r="228" ht="15.75" customHeight="1">
      <c r="A228" s="11">
        <v>1.0</v>
      </c>
    </row>
    <row r="229" ht="15.75" customHeight="1">
      <c r="A229" s="11">
        <v>2.0</v>
      </c>
      <c r="B229" s="11">
        <v>0.780173004</v>
      </c>
      <c r="C229" s="11">
        <v>1.37</v>
      </c>
      <c r="D229" s="11">
        <v>4.57</v>
      </c>
    </row>
    <row r="230" ht="15.75" customHeight="1">
      <c r="A230" s="11">
        <v>3.0</v>
      </c>
      <c r="B230" s="11">
        <v>5.05617867</v>
      </c>
      <c r="C230" s="11">
        <v>8.87</v>
      </c>
      <c r="D230" s="11">
        <v>13.44</v>
      </c>
    </row>
    <row r="231" ht="15.75" customHeight="1">
      <c r="A231" s="11">
        <v>4.0</v>
      </c>
      <c r="B231" s="11">
        <v>4.13618846</v>
      </c>
      <c r="C231" s="11">
        <v>7.26</v>
      </c>
      <c r="D231" s="11">
        <v>20.7</v>
      </c>
    </row>
    <row r="232" ht="15.75" customHeight="1">
      <c r="A232" s="11">
        <v>5.0</v>
      </c>
      <c r="B232" s="11">
        <v>4.9357625</v>
      </c>
      <c r="C232" s="11">
        <v>8.66</v>
      </c>
      <c r="D232" s="11">
        <v>29.36</v>
      </c>
    </row>
    <row r="233" ht="15.75" customHeight="1">
      <c r="A233" s="11">
        <v>6.0</v>
      </c>
      <c r="B233" s="11">
        <v>1.41388248</v>
      </c>
      <c r="C233" s="11">
        <v>2.48</v>
      </c>
      <c r="D233" s="11">
        <v>31.84</v>
      </c>
    </row>
    <row r="234" ht="15.75" customHeight="1">
      <c r="A234" s="11">
        <v>7.0</v>
      </c>
      <c r="B234" s="11">
        <v>5.04211051</v>
      </c>
      <c r="C234" s="11">
        <v>8.85</v>
      </c>
      <c r="D234" s="11">
        <v>40.68</v>
      </c>
    </row>
    <row r="235" ht="15.75" customHeight="1">
      <c r="A235" s="11">
        <v>8.0</v>
      </c>
      <c r="B235" s="11">
        <v>21.3443668</v>
      </c>
      <c r="C235" s="11">
        <v>37.45</v>
      </c>
      <c r="D235" s="11">
        <v>78.13</v>
      </c>
    </row>
    <row r="236" ht="15.75" customHeight="1">
      <c r="A236" s="11">
        <v>9.0</v>
      </c>
      <c r="B236" s="11">
        <v>5.70568502</v>
      </c>
      <c r="C236" s="11">
        <v>10.01</v>
      </c>
      <c r="D236" s="11">
        <v>88.14</v>
      </c>
    </row>
    <row r="237" ht="15.75" customHeight="1">
      <c r="A237" s="11" t="s">
        <v>526</v>
      </c>
      <c r="B237" s="11">
        <v>6.76082687</v>
      </c>
      <c r="C237" s="11">
        <v>11.86</v>
      </c>
      <c r="D237" s="11">
        <v>100.0</v>
      </c>
    </row>
    <row r="238" ht="15.75" customHeight="1"/>
    <row r="239" ht="15.75" customHeight="1">
      <c r="A239" s="11" t="s">
        <v>32</v>
      </c>
      <c r="B239" s="11">
        <v>57.0</v>
      </c>
      <c r="C239" s="11">
        <v>100.0</v>
      </c>
    </row>
    <row r="240" ht="15.75" customHeight="1"/>
    <row r="241" ht="15.75" customHeight="1"/>
    <row r="242" ht="15.75" customHeight="1">
      <c r="A242" s="49" t="s">
        <v>493</v>
      </c>
      <c r="B242" s="49"/>
    </row>
    <row r="243" ht="15.75" customHeight="1"/>
    <row r="244" ht="15.75" customHeight="1">
      <c r="A244" s="11" t="s">
        <v>522</v>
      </c>
    </row>
    <row r="245" ht="15.75" customHeight="1">
      <c r="A245" s="11" t="s">
        <v>539</v>
      </c>
    </row>
    <row r="246" ht="15.75" customHeight="1">
      <c r="A246" s="11" t="s">
        <v>540</v>
      </c>
    </row>
    <row r="247" ht="15.75" customHeight="1">
      <c r="A247" s="11" t="s">
        <v>541</v>
      </c>
      <c r="B247" s="11" t="s">
        <v>23</v>
      </c>
      <c r="C247" s="11" t="s">
        <v>24</v>
      </c>
      <c r="D247" s="11" t="s">
        <v>25</v>
      </c>
    </row>
    <row r="248" ht="15.75" customHeight="1"/>
    <row r="249" ht="15.75" customHeight="1">
      <c r="A249" s="11" t="s">
        <v>525</v>
      </c>
      <c r="B249" s="11">
        <v>30.8625589</v>
      </c>
      <c r="C249" s="11">
        <v>3.28</v>
      </c>
      <c r="D249" s="11">
        <v>3.28</v>
      </c>
    </row>
    <row r="250" ht="15.75" customHeight="1">
      <c r="A250" s="11">
        <v>1.0</v>
      </c>
      <c r="B250" s="11">
        <v>17.7300916</v>
      </c>
      <c r="C250" s="11">
        <v>1.89</v>
      </c>
      <c r="D250" s="11">
        <v>5.17</v>
      </c>
    </row>
    <row r="251" ht="15.75" customHeight="1">
      <c r="A251" s="11">
        <v>2.0</v>
      </c>
      <c r="B251" s="11">
        <v>46.9195585</v>
      </c>
      <c r="C251" s="11">
        <v>4.99</v>
      </c>
      <c r="D251" s="11">
        <v>10.16</v>
      </c>
    </row>
    <row r="252" ht="15.75" customHeight="1">
      <c r="A252" s="11">
        <v>3.0</v>
      </c>
      <c r="B252" s="11">
        <v>38.1528242</v>
      </c>
      <c r="C252" s="11">
        <v>4.06</v>
      </c>
      <c r="D252" s="11">
        <v>14.22</v>
      </c>
    </row>
    <row r="253" ht="15.75" customHeight="1">
      <c r="A253" s="11">
        <v>4.0</v>
      </c>
      <c r="B253" s="11">
        <v>41.0565052</v>
      </c>
      <c r="C253" s="11">
        <v>4.37</v>
      </c>
      <c r="D253" s="11">
        <v>18.59</v>
      </c>
    </row>
    <row r="254" ht="15.75" customHeight="1">
      <c r="A254" s="11">
        <v>5.0</v>
      </c>
      <c r="B254" s="11">
        <v>126.694081</v>
      </c>
      <c r="C254" s="11">
        <v>13.48</v>
      </c>
      <c r="D254" s="11">
        <v>32.07</v>
      </c>
    </row>
    <row r="255" ht="15.75" customHeight="1">
      <c r="A255" s="11">
        <v>6.0</v>
      </c>
      <c r="B255" s="11">
        <v>115.6579667</v>
      </c>
      <c r="C255" s="11">
        <v>12.3</v>
      </c>
      <c r="D255" s="11">
        <v>44.37</v>
      </c>
    </row>
    <row r="256" ht="15.75" customHeight="1">
      <c r="A256" s="11">
        <v>7.0</v>
      </c>
      <c r="B256" s="11">
        <v>154.52129300000001</v>
      </c>
      <c r="C256" s="11">
        <v>16.44</v>
      </c>
      <c r="D256" s="11">
        <v>60.81</v>
      </c>
    </row>
    <row r="257" ht="15.75" customHeight="1">
      <c r="A257" s="11">
        <v>8.0</v>
      </c>
      <c r="B257" s="11">
        <v>177.346348</v>
      </c>
      <c r="C257" s="11">
        <v>18.87</v>
      </c>
      <c r="D257" s="11">
        <v>79.67</v>
      </c>
    </row>
    <row r="258" ht="15.75" customHeight="1">
      <c r="A258" s="11">
        <v>9.0</v>
      </c>
      <c r="B258" s="11">
        <v>96.7916899</v>
      </c>
      <c r="C258" s="11">
        <v>10.3</v>
      </c>
      <c r="D258" s="11">
        <v>89.97</v>
      </c>
    </row>
    <row r="259" ht="15.75" customHeight="1">
      <c r="A259" s="11" t="s">
        <v>526</v>
      </c>
      <c r="B259" s="11">
        <v>94.2670839</v>
      </c>
      <c r="C259" s="11">
        <v>10.03</v>
      </c>
      <c r="D259" s="11">
        <v>100.0</v>
      </c>
    </row>
    <row r="260" ht="15.75" customHeight="1"/>
    <row r="261" ht="15.75" customHeight="1">
      <c r="A261" s="11" t="s">
        <v>32</v>
      </c>
      <c r="B261" s="11">
        <v>940.0</v>
      </c>
      <c r="C261" s="11">
        <v>100.0</v>
      </c>
    </row>
    <row r="262" ht="15.75" customHeight="1"/>
    <row r="263" ht="15.75" customHeight="1"/>
    <row r="264" ht="15.75" customHeight="1"/>
    <row r="265" ht="15.75" customHeight="1">
      <c r="A265" s="22" t="s">
        <v>544</v>
      </c>
      <c r="B265" s="22"/>
      <c r="C265" s="22"/>
      <c r="D265" s="22"/>
      <c r="E265" s="22"/>
      <c r="F265" s="22"/>
      <c r="G265" s="22"/>
      <c r="H265" s="22"/>
    </row>
    <row r="266" ht="38.25" customHeight="1">
      <c r="F266" s="18" t="s">
        <v>545</v>
      </c>
    </row>
    <row r="267" ht="15.75" customHeight="1">
      <c r="A267" s="11" t="s">
        <v>539</v>
      </c>
    </row>
    <row r="268" ht="15.75" customHeight="1">
      <c r="A268" s="11" t="s">
        <v>546</v>
      </c>
    </row>
    <row r="269" ht="15.75" customHeight="1">
      <c r="A269" s="11" t="s">
        <v>547</v>
      </c>
      <c r="B269" s="11" t="s">
        <v>23</v>
      </c>
      <c r="C269" s="11" t="s">
        <v>24</v>
      </c>
      <c r="D269" s="11" t="s">
        <v>25</v>
      </c>
    </row>
    <row r="270" ht="15.75" customHeight="1"/>
    <row r="271" ht="15.75" customHeight="1">
      <c r="A271" s="11" t="s">
        <v>525</v>
      </c>
      <c r="B271" s="11">
        <v>162.531206</v>
      </c>
      <c r="C271" s="27">
        <v>9.54</v>
      </c>
      <c r="D271" s="11">
        <v>9.54</v>
      </c>
    </row>
    <row r="272" ht="15.75" customHeight="1">
      <c r="A272" s="11">
        <v>1.0</v>
      </c>
      <c r="B272" s="11">
        <v>111.8538395</v>
      </c>
      <c r="C272" s="27">
        <v>6.56</v>
      </c>
      <c r="D272" s="11">
        <v>16.1</v>
      </c>
    </row>
    <row r="273" ht="15.75" customHeight="1">
      <c r="A273" s="11">
        <v>2.0</v>
      </c>
      <c r="B273" s="11">
        <v>184.700872</v>
      </c>
      <c r="C273" s="27">
        <v>10.84</v>
      </c>
      <c r="D273" s="11">
        <v>26.94</v>
      </c>
    </row>
    <row r="274" ht="15.75" customHeight="1">
      <c r="A274" s="11">
        <v>3.0</v>
      </c>
      <c r="B274" s="11">
        <v>181.884673</v>
      </c>
      <c r="C274" s="27">
        <v>10.67</v>
      </c>
      <c r="D274" s="11">
        <v>37.62</v>
      </c>
    </row>
    <row r="275" ht="15.75" customHeight="1">
      <c r="A275" s="11">
        <v>4.0</v>
      </c>
      <c r="B275" s="11">
        <v>195.432715</v>
      </c>
      <c r="C275" s="27">
        <v>11.47</v>
      </c>
      <c r="D275" s="11">
        <v>49.08</v>
      </c>
    </row>
    <row r="276" ht="15.75" customHeight="1">
      <c r="A276" s="11">
        <v>5.0</v>
      </c>
      <c r="B276" s="11">
        <v>229.960238</v>
      </c>
      <c r="C276" s="27">
        <v>13.5</v>
      </c>
      <c r="D276" s="11">
        <v>62.58</v>
      </c>
    </row>
    <row r="277" ht="15.75" customHeight="1">
      <c r="A277" s="11">
        <v>6.0</v>
      </c>
      <c r="B277" s="11">
        <v>165.004503</v>
      </c>
      <c r="C277" s="27">
        <v>9.68</v>
      </c>
      <c r="D277" s="11">
        <v>72.26</v>
      </c>
    </row>
    <row r="278" ht="15.75" customHeight="1">
      <c r="A278" s="11">
        <v>7.0</v>
      </c>
      <c r="B278" s="11">
        <v>175.229162</v>
      </c>
      <c r="C278" s="27">
        <v>10.28</v>
      </c>
      <c r="D278" s="11">
        <v>82.55</v>
      </c>
    </row>
    <row r="279" ht="15.75" customHeight="1">
      <c r="A279" s="11">
        <v>8.0</v>
      </c>
      <c r="B279" s="11">
        <v>178.95727</v>
      </c>
      <c r="C279" s="27">
        <v>10.5</v>
      </c>
      <c r="D279" s="11">
        <v>93.05</v>
      </c>
    </row>
    <row r="280" ht="15.75" customHeight="1">
      <c r="A280" s="11">
        <v>9.0</v>
      </c>
      <c r="B280" s="11">
        <v>78.6485295</v>
      </c>
      <c r="C280" s="27">
        <v>4.62</v>
      </c>
      <c r="D280" s="11">
        <v>97.66</v>
      </c>
    </row>
    <row r="281" ht="15.75" customHeight="1">
      <c r="A281" s="11" t="s">
        <v>526</v>
      </c>
      <c r="B281" s="11">
        <v>39.7969911</v>
      </c>
      <c r="C281" s="27">
        <v>2.34</v>
      </c>
      <c r="D281" s="11">
        <v>100.0</v>
      </c>
    </row>
    <row r="282" ht="15.75" customHeight="1"/>
    <row r="283" ht="15.75" customHeight="1">
      <c r="A283" s="11" t="s">
        <v>32</v>
      </c>
      <c r="B283" s="10">
        <v>1704.0</v>
      </c>
      <c r="C283" s="11">
        <v>100.0</v>
      </c>
    </row>
    <row r="284" ht="15.75" customHeight="1"/>
    <row r="285" ht="15.75" customHeight="1"/>
    <row r="286" ht="15.75" customHeight="1">
      <c r="A286" s="22" t="s">
        <v>548</v>
      </c>
      <c r="B286" s="22"/>
      <c r="C286" s="22"/>
      <c r="D286" s="22"/>
      <c r="E286" s="22"/>
      <c r="F286" s="22"/>
      <c r="G286" s="22"/>
      <c r="H286" s="22"/>
      <c r="I286" s="30"/>
      <c r="J286" s="30"/>
    </row>
    <row r="287" ht="41.25" customHeight="1">
      <c r="A287" s="49" t="s">
        <v>448</v>
      </c>
      <c r="B287" s="49"/>
      <c r="C287" s="30"/>
      <c r="L287" s="18" t="s">
        <v>549</v>
      </c>
    </row>
    <row r="288" ht="15.75" customHeight="1">
      <c r="A288" s="11" t="s">
        <v>522</v>
      </c>
      <c r="G288" s="8"/>
      <c r="H288" s="11" t="s">
        <v>448</v>
      </c>
      <c r="I288" s="11" t="s">
        <v>449</v>
      </c>
      <c r="J288" s="11" t="s">
        <v>493</v>
      </c>
    </row>
    <row r="289" ht="15.75" customHeight="1">
      <c r="A289" s="11" t="s">
        <v>539</v>
      </c>
      <c r="G289" s="11" t="s">
        <v>525</v>
      </c>
      <c r="H289" s="21">
        <f t="shared" ref="H289:H299" si="10">C293</f>
        <v>8.65</v>
      </c>
      <c r="I289" s="21">
        <f t="shared" ref="I289:I299" si="11">C315</f>
        <v>9.64</v>
      </c>
      <c r="J289" s="21">
        <f t="shared" ref="J289:J299" si="12">C337</f>
        <v>10.28</v>
      </c>
    </row>
    <row r="290" ht="15.75" customHeight="1">
      <c r="A290" s="11" t="s">
        <v>546</v>
      </c>
      <c r="G290" s="11">
        <v>1.0</v>
      </c>
      <c r="H290" s="21">
        <f t="shared" si="10"/>
        <v>7</v>
      </c>
      <c r="I290" s="21">
        <f t="shared" si="11"/>
        <v>1.2</v>
      </c>
      <c r="J290" s="21">
        <f t="shared" si="12"/>
        <v>6.59</v>
      </c>
    </row>
    <row r="291" ht="15.75" customHeight="1">
      <c r="A291" s="11" t="s">
        <v>547</v>
      </c>
      <c r="B291" s="11" t="s">
        <v>23</v>
      </c>
      <c r="C291" s="11" t="s">
        <v>24</v>
      </c>
      <c r="D291" s="11" t="s">
        <v>25</v>
      </c>
      <c r="G291" s="11">
        <v>2.0</v>
      </c>
      <c r="H291" s="21">
        <f t="shared" si="10"/>
        <v>11</v>
      </c>
      <c r="I291" s="21">
        <f t="shared" si="11"/>
        <v>3.5</v>
      </c>
      <c r="J291" s="21">
        <f t="shared" si="12"/>
        <v>11.32</v>
      </c>
    </row>
    <row r="292" ht="15.75" customHeight="1">
      <c r="G292" s="11">
        <v>3.0</v>
      </c>
      <c r="H292" s="21">
        <f t="shared" si="10"/>
        <v>10.96</v>
      </c>
      <c r="I292" s="21">
        <f t="shared" si="11"/>
        <v>11.96</v>
      </c>
      <c r="J292" s="21">
        <f t="shared" si="12"/>
        <v>10.33</v>
      </c>
    </row>
    <row r="293" ht="15.75" customHeight="1">
      <c r="A293" s="11" t="s">
        <v>525</v>
      </c>
      <c r="B293" s="11">
        <v>60.136593</v>
      </c>
      <c r="C293" s="11">
        <v>8.65</v>
      </c>
      <c r="D293" s="11">
        <v>8.65</v>
      </c>
      <c r="G293" s="11">
        <v>4.0</v>
      </c>
      <c r="H293" s="21">
        <f t="shared" si="10"/>
        <v>11.65</v>
      </c>
      <c r="I293" s="21">
        <f t="shared" si="11"/>
        <v>13.56</v>
      </c>
      <c r="J293" s="21">
        <f t="shared" si="12"/>
        <v>11.22</v>
      </c>
    </row>
    <row r="294" ht="15.75" customHeight="1">
      <c r="A294" s="11">
        <v>1.0</v>
      </c>
      <c r="B294" s="11">
        <v>48.6669213</v>
      </c>
      <c r="C294" s="11">
        <v>7.0</v>
      </c>
      <c r="D294" s="11">
        <v>15.66</v>
      </c>
      <c r="G294" s="11">
        <v>5.0</v>
      </c>
      <c r="H294" s="21">
        <f t="shared" si="10"/>
        <v>14.43</v>
      </c>
      <c r="I294" s="21">
        <f t="shared" si="11"/>
        <v>15.82</v>
      </c>
      <c r="J294" s="21">
        <f t="shared" si="12"/>
        <v>12.31</v>
      </c>
    </row>
    <row r="295" ht="15.75" customHeight="1">
      <c r="A295" s="11">
        <v>2.0</v>
      </c>
      <c r="B295" s="11">
        <v>76.4597048</v>
      </c>
      <c r="C295" s="11">
        <v>11.0</v>
      </c>
      <c r="D295" s="11">
        <v>26.66</v>
      </c>
      <c r="G295" s="11">
        <v>6.0</v>
      </c>
      <c r="H295" s="21">
        <f t="shared" si="10"/>
        <v>10.12</v>
      </c>
      <c r="I295" s="21">
        <f t="shared" si="11"/>
        <v>15.96</v>
      </c>
      <c r="J295" s="21">
        <f t="shared" si="12"/>
        <v>8.99</v>
      </c>
    </row>
    <row r="296" ht="15.75" customHeight="1">
      <c r="A296" s="11">
        <v>3.0</v>
      </c>
      <c r="B296" s="11">
        <v>76.1526542</v>
      </c>
      <c r="C296" s="11">
        <v>10.96</v>
      </c>
      <c r="D296" s="11">
        <v>37.61</v>
      </c>
      <c r="G296" s="11">
        <v>7.0</v>
      </c>
      <c r="H296" s="21">
        <f t="shared" si="10"/>
        <v>9.84</v>
      </c>
      <c r="I296" s="21">
        <f t="shared" si="11"/>
        <v>8.53</v>
      </c>
      <c r="J296" s="21">
        <f t="shared" si="12"/>
        <v>10.76</v>
      </c>
    </row>
    <row r="297" ht="15.75" customHeight="1">
      <c r="A297" s="11">
        <v>4.0</v>
      </c>
      <c r="B297" s="11">
        <v>80.94157712</v>
      </c>
      <c r="C297" s="11">
        <v>11.65</v>
      </c>
      <c r="D297" s="11">
        <v>49.26</v>
      </c>
      <c r="G297" s="11">
        <v>8.0</v>
      </c>
      <c r="H297" s="21">
        <f t="shared" si="10"/>
        <v>9.68</v>
      </c>
      <c r="I297" s="21">
        <f t="shared" si="11"/>
        <v>9.35</v>
      </c>
      <c r="J297" s="21">
        <f t="shared" si="12"/>
        <v>11.12</v>
      </c>
    </row>
    <row r="298" ht="15.75" customHeight="1">
      <c r="A298" s="11">
        <v>5.0</v>
      </c>
      <c r="B298" s="11">
        <v>100.26743</v>
      </c>
      <c r="C298" s="11">
        <v>14.43</v>
      </c>
      <c r="D298" s="11">
        <v>63.69</v>
      </c>
      <c r="G298" s="11">
        <v>9.0</v>
      </c>
      <c r="H298" s="21">
        <f t="shared" si="10"/>
        <v>4.27</v>
      </c>
      <c r="I298" s="21">
        <f t="shared" si="11"/>
        <v>9.3</v>
      </c>
      <c r="J298" s="21">
        <f t="shared" si="12"/>
        <v>4.71</v>
      </c>
    </row>
    <row r="299" ht="15.75" customHeight="1">
      <c r="A299" s="11">
        <v>6.0</v>
      </c>
      <c r="B299" s="11">
        <v>70.3648835</v>
      </c>
      <c r="C299" s="11">
        <v>10.12</v>
      </c>
      <c r="D299" s="11">
        <v>73.81</v>
      </c>
      <c r="G299" s="11" t="s">
        <v>526</v>
      </c>
      <c r="H299" s="21">
        <f t="shared" si="10"/>
        <v>2.4</v>
      </c>
      <c r="I299" s="21">
        <f t="shared" si="11"/>
        <v>1.17</v>
      </c>
      <c r="J299" s="21">
        <f t="shared" si="12"/>
        <v>2.38</v>
      </c>
    </row>
    <row r="300" ht="15.75" customHeight="1">
      <c r="A300" s="11">
        <v>7.0</v>
      </c>
      <c r="B300" s="11">
        <v>68.3594328</v>
      </c>
      <c r="C300" s="11">
        <v>9.84</v>
      </c>
      <c r="D300" s="11">
        <v>83.65</v>
      </c>
    </row>
    <row r="301" ht="15.75" customHeight="1">
      <c r="A301" s="11">
        <v>8.0</v>
      </c>
      <c r="B301" s="11">
        <v>67.2495379</v>
      </c>
      <c r="C301" s="11">
        <v>9.68</v>
      </c>
      <c r="D301" s="11">
        <v>93.32</v>
      </c>
    </row>
    <row r="302" ht="15.75" customHeight="1">
      <c r="A302" s="11">
        <v>9.0</v>
      </c>
      <c r="B302" s="11">
        <v>29.6914795</v>
      </c>
      <c r="C302" s="11">
        <v>4.27</v>
      </c>
      <c r="D302" s="11">
        <v>97.6</v>
      </c>
    </row>
    <row r="303" ht="15.75" customHeight="1">
      <c r="A303" s="11" t="s">
        <v>526</v>
      </c>
      <c r="B303" s="11">
        <v>16.7097856</v>
      </c>
      <c r="C303" s="11">
        <v>2.4</v>
      </c>
      <c r="D303" s="11">
        <v>100.0</v>
      </c>
    </row>
    <row r="304" ht="15.75" customHeight="1"/>
    <row r="305" ht="15.75" customHeight="1">
      <c r="A305" s="11" t="s">
        <v>32</v>
      </c>
      <c r="B305" s="11">
        <v>695.0</v>
      </c>
      <c r="C305" s="11">
        <v>100.0</v>
      </c>
    </row>
    <row r="306" ht="15.75" customHeight="1"/>
    <row r="307" ht="15.75" customHeight="1"/>
    <row r="308" ht="15.75" customHeight="1">
      <c r="A308" s="49" t="s">
        <v>449</v>
      </c>
      <c r="B308" s="49"/>
      <c r="C308" s="30"/>
      <c r="D308" s="30"/>
      <c r="E308" s="30"/>
      <c r="F308" s="30"/>
    </row>
    <row r="309" ht="15.75" customHeight="1"/>
    <row r="310" ht="15.75" customHeight="1">
      <c r="A310" s="11" t="s">
        <v>522</v>
      </c>
    </row>
    <row r="311" ht="15.75" customHeight="1">
      <c r="A311" s="11" t="s">
        <v>539</v>
      </c>
    </row>
    <row r="312" ht="15.75" customHeight="1">
      <c r="A312" s="11" t="s">
        <v>546</v>
      </c>
    </row>
    <row r="313" ht="15.75" customHeight="1">
      <c r="A313" s="11" t="s">
        <v>547</v>
      </c>
      <c r="B313" s="11" t="s">
        <v>23</v>
      </c>
      <c r="C313" s="11" t="s">
        <v>24</v>
      </c>
      <c r="D313" s="11" t="s">
        <v>25</v>
      </c>
    </row>
    <row r="314" ht="15.75" customHeight="1"/>
    <row r="315" ht="15.75" customHeight="1">
      <c r="A315" s="11" t="s">
        <v>525</v>
      </c>
      <c r="B315" s="11">
        <v>5.49437842</v>
      </c>
      <c r="C315" s="11">
        <v>9.64</v>
      </c>
      <c r="D315" s="11">
        <v>9.64</v>
      </c>
    </row>
    <row r="316" ht="15.75" customHeight="1">
      <c r="A316" s="11">
        <v>1.0</v>
      </c>
      <c r="B316" s="11">
        <v>0.685911049</v>
      </c>
      <c r="C316" s="11">
        <v>1.2</v>
      </c>
      <c r="D316" s="11">
        <v>10.84</v>
      </c>
    </row>
    <row r="317" ht="15.75" customHeight="1">
      <c r="A317" s="11">
        <v>2.0</v>
      </c>
      <c r="B317" s="11">
        <v>1.994882</v>
      </c>
      <c r="C317" s="11">
        <v>3.5</v>
      </c>
      <c r="D317" s="11">
        <v>14.34</v>
      </c>
    </row>
    <row r="318" ht="15.75" customHeight="1">
      <c r="A318" s="11">
        <v>3.0</v>
      </c>
      <c r="B318" s="11">
        <v>6.81885685</v>
      </c>
      <c r="C318" s="11">
        <v>11.96</v>
      </c>
      <c r="D318" s="11">
        <v>26.31</v>
      </c>
    </row>
    <row r="319" ht="15.75" customHeight="1">
      <c r="A319" s="11">
        <v>4.0</v>
      </c>
      <c r="B319" s="11">
        <v>7.72726727</v>
      </c>
      <c r="C319" s="11">
        <v>13.56</v>
      </c>
      <c r="D319" s="11">
        <v>39.86</v>
      </c>
    </row>
    <row r="320" ht="15.75" customHeight="1">
      <c r="A320" s="11">
        <v>5.0</v>
      </c>
      <c r="B320" s="11">
        <v>9.0199934</v>
      </c>
      <c r="C320" s="11">
        <v>15.82</v>
      </c>
      <c r="D320" s="11">
        <v>55.69</v>
      </c>
    </row>
    <row r="321" ht="15.75" customHeight="1">
      <c r="A321" s="11">
        <v>6.0</v>
      </c>
      <c r="B321" s="11">
        <v>9.09892183</v>
      </c>
      <c r="C321" s="11">
        <v>15.96</v>
      </c>
      <c r="D321" s="11">
        <v>71.65</v>
      </c>
    </row>
    <row r="322" ht="15.75" customHeight="1">
      <c r="A322" s="11">
        <v>7.0</v>
      </c>
      <c r="B322" s="11">
        <v>4.86281547</v>
      </c>
      <c r="C322" s="11">
        <v>8.53</v>
      </c>
      <c r="D322" s="11">
        <v>80.18</v>
      </c>
    </row>
    <row r="323" ht="15.75" customHeight="1">
      <c r="A323" s="11">
        <v>8.0</v>
      </c>
      <c r="B323" s="11">
        <v>5.33201024</v>
      </c>
      <c r="C323" s="11">
        <v>9.35</v>
      </c>
      <c r="D323" s="11">
        <v>89.54</v>
      </c>
    </row>
    <row r="324" ht="15.75" customHeight="1">
      <c r="A324" s="11">
        <v>9.0</v>
      </c>
      <c r="B324" s="11">
        <v>5.29879455</v>
      </c>
      <c r="C324" s="11">
        <v>9.3</v>
      </c>
      <c r="D324" s="11">
        <v>98.83</v>
      </c>
    </row>
    <row r="325" ht="15.75" customHeight="1">
      <c r="A325" s="11" t="s">
        <v>526</v>
      </c>
      <c r="B325" s="11">
        <v>0.666168912</v>
      </c>
      <c r="C325" s="11">
        <v>1.17</v>
      </c>
      <c r="D325" s="11">
        <v>100.0</v>
      </c>
    </row>
    <row r="326" ht="15.75" customHeight="1"/>
    <row r="327" ht="15.75" customHeight="1">
      <c r="A327" s="11" t="s">
        <v>32</v>
      </c>
      <c r="B327" s="11">
        <v>57.0</v>
      </c>
      <c r="C327" s="11">
        <v>100.0</v>
      </c>
    </row>
    <row r="328" ht="15.75" customHeight="1"/>
    <row r="329" ht="15.75" customHeight="1"/>
    <row r="330" ht="15.75" customHeight="1">
      <c r="A330" s="49" t="s">
        <v>493</v>
      </c>
      <c r="B330" s="49"/>
    </row>
    <row r="331" ht="15.75" customHeight="1"/>
    <row r="332" ht="15.75" customHeight="1">
      <c r="A332" s="11" t="s">
        <v>522</v>
      </c>
    </row>
    <row r="333" ht="15.75" customHeight="1">
      <c r="A333" s="11" t="s">
        <v>539</v>
      </c>
    </row>
    <row r="334" ht="15.75" customHeight="1">
      <c r="A334" s="11" t="s">
        <v>546</v>
      </c>
    </row>
    <row r="335" ht="15.75" customHeight="1">
      <c r="A335" s="11" t="s">
        <v>547</v>
      </c>
      <c r="B335" s="11" t="s">
        <v>23</v>
      </c>
      <c r="C335" s="11" t="s">
        <v>24</v>
      </c>
      <c r="D335" s="11" t="s">
        <v>25</v>
      </c>
    </row>
    <row r="336" ht="15.75" customHeight="1"/>
    <row r="337" ht="15.75" customHeight="1">
      <c r="A337" s="11" t="s">
        <v>525</v>
      </c>
      <c r="B337" s="11">
        <v>95.8108103</v>
      </c>
      <c r="C337" s="11">
        <v>10.28</v>
      </c>
      <c r="D337" s="11">
        <v>10.28</v>
      </c>
    </row>
    <row r="338" ht="15.75" customHeight="1">
      <c r="A338" s="11">
        <v>1.0</v>
      </c>
      <c r="B338" s="11">
        <v>61.3981774</v>
      </c>
      <c r="C338" s="11">
        <v>6.59</v>
      </c>
      <c r="D338" s="11">
        <v>16.87</v>
      </c>
    </row>
    <row r="339" ht="15.75" customHeight="1">
      <c r="A339" s="11">
        <v>2.0</v>
      </c>
      <c r="B339" s="11">
        <v>105.472358</v>
      </c>
      <c r="C339" s="11">
        <v>11.32</v>
      </c>
      <c r="D339" s="11">
        <v>28.18</v>
      </c>
    </row>
    <row r="340" ht="15.75" customHeight="1">
      <c r="A340" s="11">
        <v>3.0</v>
      </c>
      <c r="B340" s="11">
        <v>96.3147988</v>
      </c>
      <c r="C340" s="11">
        <v>10.33</v>
      </c>
      <c r="D340" s="11">
        <v>38.52</v>
      </c>
    </row>
    <row r="341" ht="15.75" customHeight="1">
      <c r="A341" s="11">
        <v>4.0</v>
      </c>
      <c r="B341" s="11">
        <v>104.551798</v>
      </c>
      <c r="C341" s="11">
        <v>11.22</v>
      </c>
      <c r="D341" s="11">
        <v>49.74</v>
      </c>
    </row>
    <row r="342" ht="15.75" customHeight="1">
      <c r="A342" s="11">
        <v>5.0</v>
      </c>
      <c r="B342" s="11">
        <v>114.703619</v>
      </c>
      <c r="C342" s="11">
        <v>12.31</v>
      </c>
      <c r="D342" s="11">
        <v>62.04</v>
      </c>
    </row>
    <row r="343" ht="15.75" customHeight="1">
      <c r="A343" s="11">
        <v>6.0</v>
      </c>
      <c r="B343" s="11">
        <v>83.8307874</v>
      </c>
      <c r="C343" s="11">
        <v>8.99</v>
      </c>
      <c r="D343" s="11">
        <v>71.04</v>
      </c>
    </row>
    <row r="344" ht="15.75" customHeight="1">
      <c r="A344" s="11">
        <v>7.0</v>
      </c>
      <c r="B344" s="11">
        <v>100.254923</v>
      </c>
      <c r="C344" s="11">
        <v>10.76</v>
      </c>
      <c r="D344" s="11">
        <v>81.8</v>
      </c>
    </row>
    <row r="345" ht="15.75" customHeight="1">
      <c r="A345" s="11">
        <v>8.0</v>
      </c>
      <c r="B345" s="11">
        <v>103.619919</v>
      </c>
      <c r="C345" s="11">
        <v>11.12</v>
      </c>
      <c r="D345" s="11">
        <v>92.91</v>
      </c>
    </row>
    <row r="346" ht="15.75" customHeight="1">
      <c r="A346" s="11">
        <v>9.0</v>
      </c>
      <c r="B346" s="11">
        <v>43.8689351</v>
      </c>
      <c r="C346" s="11">
        <v>4.71</v>
      </c>
      <c r="D346" s="11">
        <v>97.62</v>
      </c>
    </row>
    <row r="347" ht="15.75" customHeight="1">
      <c r="A347" s="11" t="s">
        <v>526</v>
      </c>
      <c r="B347" s="11">
        <v>22.1738737</v>
      </c>
      <c r="C347" s="11">
        <v>2.38</v>
      </c>
      <c r="D347" s="11">
        <v>100.0</v>
      </c>
    </row>
    <row r="348" ht="15.75" customHeight="1"/>
    <row r="349" ht="15.75" customHeight="1">
      <c r="A349" s="11" t="s">
        <v>32</v>
      </c>
      <c r="B349" s="11">
        <v>932.0</v>
      </c>
      <c r="C349" s="11">
        <v>100.0</v>
      </c>
    </row>
    <row r="350" ht="15.75" customHeight="1"/>
    <row r="351" ht="15.75" customHeight="1"/>
    <row r="352" ht="15.75" customHeight="1">
      <c r="A352" s="22" t="s">
        <v>550</v>
      </c>
      <c r="B352" s="22"/>
      <c r="C352" s="22"/>
      <c r="D352" s="22"/>
      <c r="E352" s="22"/>
      <c r="F352" s="22"/>
      <c r="G352" s="22"/>
      <c r="H352" s="22"/>
    </row>
    <row r="353" ht="40.5" customHeight="1">
      <c r="F353" s="18" t="s">
        <v>551</v>
      </c>
    </row>
    <row r="354" ht="15.75" customHeight="1">
      <c r="A354" s="11" t="s">
        <v>522</v>
      </c>
    </row>
    <row r="355" ht="15.75" customHeight="1">
      <c r="A355" s="11" t="s">
        <v>539</v>
      </c>
    </row>
    <row r="356" ht="15.75" customHeight="1">
      <c r="A356" s="11" t="s">
        <v>552</v>
      </c>
    </row>
    <row r="357" ht="15.75" customHeight="1">
      <c r="A357" s="11" t="s">
        <v>553</v>
      </c>
      <c r="B357" s="11" t="s">
        <v>23</v>
      </c>
      <c r="C357" s="11" t="s">
        <v>24</v>
      </c>
      <c r="D357" s="11" t="s">
        <v>25</v>
      </c>
    </row>
    <row r="358" ht="15.75" customHeight="1"/>
    <row r="359" ht="15.75" customHeight="1">
      <c r="A359" s="11" t="s">
        <v>525</v>
      </c>
      <c r="B359" s="11">
        <v>56.2087763</v>
      </c>
      <c r="C359" s="27">
        <v>3.32</v>
      </c>
      <c r="D359" s="11">
        <v>3.32</v>
      </c>
    </row>
    <row r="360" ht="15.75" customHeight="1">
      <c r="A360" s="11">
        <v>1.0</v>
      </c>
      <c r="B360" s="11">
        <v>49.8451962</v>
      </c>
      <c r="C360" s="27">
        <v>2.94</v>
      </c>
      <c r="D360" s="11">
        <v>6.26</v>
      </c>
    </row>
    <row r="361" ht="15.75" customHeight="1">
      <c r="A361" s="11">
        <v>2.0</v>
      </c>
      <c r="B361" s="11">
        <v>108.729723</v>
      </c>
      <c r="C361" s="27">
        <v>6.41</v>
      </c>
      <c r="D361" s="11">
        <v>12.67</v>
      </c>
    </row>
    <row r="362" ht="15.75" customHeight="1">
      <c r="A362" s="11">
        <v>3.0</v>
      </c>
      <c r="B362" s="11">
        <v>135.107452</v>
      </c>
      <c r="C362" s="27">
        <v>7.97</v>
      </c>
      <c r="D362" s="11">
        <v>20.64</v>
      </c>
    </row>
    <row r="363" ht="15.75" customHeight="1">
      <c r="A363" s="11">
        <v>4.0</v>
      </c>
      <c r="B363" s="11">
        <v>175.699347</v>
      </c>
      <c r="C363" s="27">
        <v>10.37</v>
      </c>
      <c r="D363" s="11">
        <v>31.01</v>
      </c>
    </row>
    <row r="364" ht="15.75" customHeight="1">
      <c r="A364" s="11">
        <v>5.0</v>
      </c>
      <c r="B364" s="11">
        <v>282.1801899</v>
      </c>
      <c r="C364" s="27">
        <v>16.65</v>
      </c>
      <c r="D364" s="11">
        <v>47.66</v>
      </c>
    </row>
    <row r="365" ht="15.75" customHeight="1">
      <c r="A365" s="11">
        <v>6.0</v>
      </c>
      <c r="B365" s="11">
        <v>235.048732</v>
      </c>
      <c r="C365" s="27">
        <v>13.87</v>
      </c>
      <c r="D365" s="11">
        <v>61.52</v>
      </c>
    </row>
    <row r="366" ht="15.75" customHeight="1">
      <c r="A366" s="11">
        <v>7.0</v>
      </c>
      <c r="B366" s="11">
        <v>265.194534</v>
      </c>
      <c r="C366" s="27">
        <v>15.65</v>
      </c>
      <c r="D366" s="11">
        <v>77.17</v>
      </c>
    </row>
    <row r="367" ht="15.75" customHeight="1">
      <c r="A367" s="11">
        <v>8.0</v>
      </c>
      <c r="B367" s="11">
        <v>224.119311</v>
      </c>
      <c r="C367" s="27">
        <v>13.22</v>
      </c>
      <c r="D367" s="11">
        <v>90.39</v>
      </c>
    </row>
    <row r="368" ht="15.75" customHeight="1">
      <c r="A368" s="11">
        <v>9.0</v>
      </c>
      <c r="B368" s="11">
        <v>93.9853991</v>
      </c>
      <c r="C368" s="27">
        <v>5.54</v>
      </c>
      <c r="D368" s="11">
        <v>95.94</v>
      </c>
    </row>
    <row r="369" ht="15.75" customHeight="1">
      <c r="A369" s="11" t="s">
        <v>526</v>
      </c>
      <c r="B369" s="11">
        <v>68.8813405</v>
      </c>
      <c r="C369" s="27">
        <v>4.06</v>
      </c>
      <c r="D369" s="11">
        <v>100.0</v>
      </c>
    </row>
    <row r="370" ht="15.75" customHeight="1"/>
    <row r="371" ht="15.75" customHeight="1">
      <c r="A371" s="11" t="s">
        <v>32</v>
      </c>
      <c r="B371" s="10">
        <v>1695.0</v>
      </c>
      <c r="C371" s="11">
        <v>100.0</v>
      </c>
    </row>
    <row r="372" ht="15.75" customHeight="1"/>
    <row r="373" ht="15.75" customHeight="1">
      <c r="A373" s="22" t="s">
        <v>554</v>
      </c>
      <c r="B373" s="22"/>
      <c r="C373" s="22"/>
      <c r="D373" s="22"/>
      <c r="E373" s="22"/>
      <c r="F373" s="22"/>
      <c r="G373" s="22"/>
      <c r="H373" s="22"/>
      <c r="I373" s="30"/>
      <c r="J373" s="30"/>
      <c r="K373" s="30"/>
    </row>
    <row r="374" ht="15.75" customHeight="1">
      <c r="A374" s="49" t="s">
        <v>448</v>
      </c>
      <c r="B374" s="49"/>
      <c r="C374" s="30"/>
    </row>
    <row r="375" ht="48.75" customHeight="1">
      <c r="A375" s="11" t="s">
        <v>522</v>
      </c>
      <c r="G375" s="8"/>
      <c r="H375" s="11" t="s">
        <v>448</v>
      </c>
      <c r="I375" s="11" t="s">
        <v>449</v>
      </c>
      <c r="J375" s="11" t="s">
        <v>493</v>
      </c>
      <c r="L375" s="18" t="s">
        <v>555</v>
      </c>
    </row>
    <row r="376" ht="15.75" customHeight="1">
      <c r="A376" s="11" t="s">
        <v>539</v>
      </c>
      <c r="G376" s="11" t="s">
        <v>525</v>
      </c>
      <c r="H376" s="21">
        <f t="shared" ref="H376:H386" si="13">C380</f>
        <v>3.87</v>
      </c>
      <c r="I376" s="21" t="str">
        <f t="shared" ref="I376:I386" si="14">C401</f>
        <v/>
      </c>
      <c r="J376" s="21">
        <f t="shared" ref="J376:J386" si="15">C423</f>
        <v>2.95</v>
      </c>
    </row>
    <row r="377" ht="15.75" customHeight="1">
      <c r="A377" s="11" t="s">
        <v>552</v>
      </c>
      <c r="G377" s="11">
        <v>1.0</v>
      </c>
      <c r="H377" s="21">
        <f t="shared" si="13"/>
        <v>3.69</v>
      </c>
      <c r="I377" s="21">
        <f t="shared" si="14"/>
        <v>1.9</v>
      </c>
      <c r="J377" s="21">
        <f t="shared" si="15"/>
        <v>2.33</v>
      </c>
    </row>
    <row r="378" ht="15.75" customHeight="1">
      <c r="A378" s="11" t="s">
        <v>553</v>
      </c>
      <c r="B378" s="11" t="s">
        <v>23</v>
      </c>
      <c r="C378" s="11" t="s">
        <v>24</v>
      </c>
      <c r="D378" s="11" t="s">
        <v>25</v>
      </c>
      <c r="G378" s="11">
        <v>2.0</v>
      </c>
      <c r="H378" s="21">
        <f t="shared" si="13"/>
        <v>7.73</v>
      </c>
      <c r="I378" s="21">
        <f t="shared" si="14"/>
        <v>9.08</v>
      </c>
      <c r="J378" s="21">
        <f t="shared" si="15"/>
        <v>5.04</v>
      </c>
    </row>
    <row r="379" ht="15.75" customHeight="1">
      <c r="G379" s="11">
        <v>3.0</v>
      </c>
      <c r="H379" s="21">
        <f t="shared" si="13"/>
        <v>7.32</v>
      </c>
      <c r="I379" s="21">
        <f t="shared" si="14"/>
        <v>4.98</v>
      </c>
      <c r="J379" s="21">
        <f t="shared" si="15"/>
        <v>8.86</v>
      </c>
    </row>
    <row r="380" ht="15.75" customHeight="1">
      <c r="A380" s="11" t="s">
        <v>525</v>
      </c>
      <c r="B380" s="11">
        <v>26.8451523</v>
      </c>
      <c r="C380" s="11">
        <v>3.87</v>
      </c>
      <c r="D380" s="11">
        <v>3.87</v>
      </c>
      <c r="G380" s="11">
        <v>4.0</v>
      </c>
      <c r="H380" s="21">
        <f t="shared" si="13"/>
        <v>9.68</v>
      </c>
      <c r="I380" s="21">
        <f t="shared" si="14"/>
        <v>10.1</v>
      </c>
      <c r="J380" s="21">
        <f t="shared" si="15"/>
        <v>11.05</v>
      </c>
    </row>
    <row r="381" ht="15.75" customHeight="1">
      <c r="A381" s="11">
        <v>1.0</v>
      </c>
      <c r="B381" s="11">
        <v>25.638533</v>
      </c>
      <c r="C381" s="11">
        <v>3.69</v>
      </c>
      <c r="D381" s="11">
        <v>7.56</v>
      </c>
      <c r="G381" s="11">
        <v>5.0</v>
      </c>
      <c r="H381" s="21">
        <f t="shared" si="13"/>
        <v>16.61</v>
      </c>
      <c r="I381" s="21">
        <f t="shared" si="14"/>
        <v>16.29</v>
      </c>
      <c r="J381" s="21">
        <f t="shared" si="15"/>
        <v>16.77</v>
      </c>
    </row>
    <row r="382" ht="15.75" customHeight="1">
      <c r="A382" s="11">
        <v>2.0</v>
      </c>
      <c r="B382" s="11">
        <v>53.637724</v>
      </c>
      <c r="C382" s="11">
        <v>7.73</v>
      </c>
      <c r="D382" s="11">
        <v>15.29</v>
      </c>
      <c r="G382" s="11">
        <v>6.0</v>
      </c>
      <c r="H382" s="21">
        <f t="shared" si="13"/>
        <v>15.4</v>
      </c>
      <c r="I382" s="21">
        <f t="shared" si="14"/>
        <v>7.53</v>
      </c>
      <c r="J382" s="21">
        <f t="shared" si="15"/>
        <v>12.65</v>
      </c>
    </row>
    <row r="383" ht="15.75" customHeight="1">
      <c r="A383" s="11">
        <v>3.0</v>
      </c>
      <c r="B383" s="11">
        <v>50.823359</v>
      </c>
      <c r="C383" s="11">
        <v>7.32</v>
      </c>
      <c r="D383" s="11">
        <v>22.61</v>
      </c>
      <c r="G383" s="11">
        <v>7.0</v>
      </c>
      <c r="H383" s="21">
        <f t="shared" si="13"/>
        <v>15.96</v>
      </c>
      <c r="I383" s="21">
        <f t="shared" si="14"/>
        <v>19.48</v>
      </c>
      <c r="J383" s="21">
        <f t="shared" si="15"/>
        <v>15.22</v>
      </c>
    </row>
    <row r="384" ht="15.75" customHeight="1">
      <c r="A384" s="11">
        <v>4.0</v>
      </c>
      <c r="B384" s="11">
        <v>67.1557802</v>
      </c>
      <c r="C384" s="11">
        <v>9.68</v>
      </c>
      <c r="D384" s="11">
        <v>32.29</v>
      </c>
      <c r="G384" s="11">
        <v>8.0</v>
      </c>
      <c r="H384" s="21">
        <f t="shared" si="13"/>
        <v>11.64</v>
      </c>
      <c r="I384" s="21">
        <f t="shared" si="14"/>
        <v>13.12</v>
      </c>
      <c r="J384" s="21">
        <f t="shared" si="15"/>
        <v>14.66</v>
      </c>
    </row>
    <row r="385" ht="15.75" customHeight="1">
      <c r="A385" s="11">
        <v>5.0</v>
      </c>
      <c r="B385" s="11">
        <v>115.260337</v>
      </c>
      <c r="C385" s="11">
        <v>16.61</v>
      </c>
      <c r="D385" s="11">
        <v>48.9</v>
      </c>
      <c r="G385" s="11">
        <v>9.0</v>
      </c>
      <c r="H385" s="21">
        <f t="shared" si="13"/>
        <v>4.13</v>
      </c>
      <c r="I385" s="21">
        <f t="shared" si="14"/>
        <v>11.58</v>
      </c>
      <c r="J385" s="21">
        <f t="shared" si="15"/>
        <v>6.37</v>
      </c>
    </row>
    <row r="386" ht="15.75" customHeight="1">
      <c r="A386" s="11">
        <v>6.0</v>
      </c>
      <c r="B386" s="11">
        <v>106.891588</v>
      </c>
      <c r="C386" s="11">
        <v>15.4</v>
      </c>
      <c r="D386" s="11">
        <v>64.3</v>
      </c>
      <c r="G386" s="11" t="s">
        <v>526</v>
      </c>
      <c r="H386" s="21">
        <f t="shared" si="13"/>
        <v>3.98</v>
      </c>
      <c r="I386" s="21">
        <f t="shared" si="14"/>
        <v>5.95</v>
      </c>
      <c r="J386" s="21">
        <f t="shared" si="15"/>
        <v>4.09</v>
      </c>
    </row>
    <row r="387" ht="15.75" customHeight="1">
      <c r="A387" s="11">
        <v>7.0</v>
      </c>
      <c r="B387" s="11">
        <v>110.73097</v>
      </c>
      <c r="C387" s="11">
        <v>15.96</v>
      </c>
      <c r="D387" s="11">
        <v>80.26</v>
      </c>
    </row>
    <row r="388" ht="15.75" customHeight="1">
      <c r="A388" s="11">
        <v>8.0</v>
      </c>
      <c r="B388" s="11">
        <v>80.7559223</v>
      </c>
      <c r="C388" s="11">
        <v>11.64</v>
      </c>
      <c r="D388" s="11">
        <v>91.89</v>
      </c>
    </row>
    <row r="389" ht="15.75" customHeight="1">
      <c r="A389" s="11">
        <v>9.0</v>
      </c>
      <c r="B389" s="11">
        <v>28.6597871</v>
      </c>
      <c r="C389" s="11">
        <v>4.13</v>
      </c>
      <c r="D389" s="11">
        <v>96.02</v>
      </c>
    </row>
    <row r="390" ht="15.75" customHeight="1">
      <c r="A390" s="11" t="s">
        <v>526</v>
      </c>
      <c r="B390" s="11">
        <v>27.6008463</v>
      </c>
      <c r="C390" s="11">
        <v>3.98</v>
      </c>
      <c r="D390" s="11">
        <v>100.0</v>
      </c>
    </row>
    <row r="391" ht="15.75" customHeight="1"/>
    <row r="392" ht="15.75" customHeight="1">
      <c r="A392" s="11" t="s">
        <v>32</v>
      </c>
      <c r="B392" s="11">
        <v>694.0</v>
      </c>
      <c r="C392" s="11">
        <v>100.0</v>
      </c>
    </row>
    <row r="393" ht="15.75" customHeight="1"/>
    <row r="394" ht="15.75" customHeight="1"/>
    <row r="395" ht="15.75" customHeight="1">
      <c r="A395" s="49" t="s">
        <v>449</v>
      </c>
      <c r="B395" s="49"/>
      <c r="C395" s="30"/>
      <c r="D395" s="30"/>
      <c r="E395" s="30"/>
      <c r="F395" s="30"/>
    </row>
    <row r="396" ht="15.75" customHeight="1"/>
    <row r="397" ht="15.75" customHeight="1">
      <c r="A397" s="11" t="s">
        <v>522</v>
      </c>
    </row>
    <row r="398" ht="15.75" customHeight="1">
      <c r="A398" s="11" t="s">
        <v>539</v>
      </c>
    </row>
    <row r="399" ht="15.75" customHeight="1">
      <c r="A399" s="11" t="s">
        <v>552</v>
      </c>
    </row>
    <row r="400" ht="15.75" customHeight="1">
      <c r="A400" s="11" t="s">
        <v>553</v>
      </c>
      <c r="B400" s="11" t="s">
        <v>23</v>
      </c>
      <c r="C400" s="11" t="s">
        <v>24</v>
      </c>
      <c r="D400" s="11" t="s">
        <v>25</v>
      </c>
    </row>
    <row r="401" ht="15.75" customHeight="1">
      <c r="A401" s="11" t="s">
        <v>525</v>
      </c>
    </row>
    <row r="402" ht="15.75" customHeight="1">
      <c r="A402" s="11">
        <v>1.0</v>
      </c>
      <c r="B402" s="11">
        <v>1.063587</v>
      </c>
      <c r="C402" s="11">
        <v>1.9</v>
      </c>
      <c r="D402" s="11">
        <v>1.9</v>
      </c>
    </row>
    <row r="403" ht="15.75" customHeight="1">
      <c r="A403" s="11">
        <v>2.0</v>
      </c>
      <c r="B403" s="11">
        <v>5.083510784</v>
      </c>
      <c r="C403" s="11">
        <v>9.08</v>
      </c>
      <c r="D403" s="11">
        <v>10.98</v>
      </c>
    </row>
    <row r="404" ht="15.75" customHeight="1">
      <c r="A404" s="11">
        <v>3.0</v>
      </c>
      <c r="B404" s="11">
        <v>2.79014697</v>
      </c>
      <c r="C404" s="11">
        <v>4.98</v>
      </c>
      <c r="D404" s="11">
        <v>15.96</v>
      </c>
    </row>
    <row r="405" ht="15.75" customHeight="1">
      <c r="A405" s="11">
        <v>4.0</v>
      </c>
      <c r="B405" s="11">
        <v>5.658267752</v>
      </c>
      <c r="C405" s="11">
        <v>10.1</v>
      </c>
      <c r="D405" s="11">
        <v>26.06</v>
      </c>
    </row>
    <row r="406" ht="15.75" customHeight="1">
      <c r="A406" s="11">
        <v>5.0</v>
      </c>
      <c r="B406" s="11">
        <v>9.11998239</v>
      </c>
      <c r="C406" s="11">
        <v>16.29</v>
      </c>
      <c r="D406" s="11">
        <v>42.35</v>
      </c>
    </row>
    <row r="407" ht="15.75" customHeight="1">
      <c r="A407" s="11">
        <v>6.0</v>
      </c>
      <c r="B407" s="11">
        <v>4.214999</v>
      </c>
      <c r="C407" s="11">
        <v>7.53</v>
      </c>
      <c r="D407" s="11">
        <v>49.88</v>
      </c>
    </row>
    <row r="408" ht="15.75" customHeight="1">
      <c r="A408" s="11">
        <v>7.0</v>
      </c>
      <c r="B408" s="11">
        <v>10.9099984</v>
      </c>
      <c r="C408" s="11">
        <v>19.48</v>
      </c>
      <c r="D408" s="11">
        <v>69.36</v>
      </c>
    </row>
    <row r="409" ht="15.75" customHeight="1">
      <c r="A409" s="11">
        <v>8.0</v>
      </c>
      <c r="B409" s="11">
        <v>7.346588032</v>
      </c>
      <c r="C409" s="11">
        <v>13.12</v>
      </c>
      <c r="D409" s="11">
        <v>82.48</v>
      </c>
    </row>
    <row r="410" ht="15.75" customHeight="1">
      <c r="A410" s="11">
        <v>9.0</v>
      </c>
      <c r="B410" s="11">
        <v>6.48229726</v>
      </c>
      <c r="C410" s="11">
        <v>11.58</v>
      </c>
      <c r="D410" s="11">
        <v>94.05</v>
      </c>
    </row>
    <row r="411" ht="15.75" customHeight="1">
      <c r="A411" s="11" t="s">
        <v>526</v>
      </c>
      <c r="B411" s="11">
        <v>3.33062241</v>
      </c>
      <c r="C411" s="11">
        <v>5.95</v>
      </c>
      <c r="D411" s="11">
        <v>100.0</v>
      </c>
    </row>
    <row r="412" ht="15.75" customHeight="1"/>
    <row r="413" ht="15.75" customHeight="1">
      <c r="A413" s="11" t="s">
        <v>32</v>
      </c>
      <c r="B413" s="11">
        <v>56.0</v>
      </c>
      <c r="C413" s="11">
        <v>100.0</v>
      </c>
    </row>
    <row r="414" ht="15.75" customHeight="1"/>
    <row r="415" ht="15.75" customHeight="1"/>
    <row r="416" ht="15.75" customHeight="1">
      <c r="A416" s="49" t="s">
        <v>493</v>
      </c>
      <c r="B416" s="49"/>
    </row>
    <row r="417" ht="15.75" customHeight="1"/>
    <row r="418" ht="15.75" customHeight="1">
      <c r="A418" s="11" t="s">
        <v>522</v>
      </c>
    </row>
    <row r="419" ht="15.75" customHeight="1">
      <c r="A419" s="11" t="s">
        <v>539</v>
      </c>
    </row>
    <row r="420" ht="15.75" customHeight="1">
      <c r="A420" s="11" t="s">
        <v>552</v>
      </c>
    </row>
    <row r="421" ht="15.75" customHeight="1">
      <c r="A421" s="11" t="s">
        <v>553</v>
      </c>
      <c r="B421" s="11" t="s">
        <v>23</v>
      </c>
      <c r="C421" s="11" t="s">
        <v>24</v>
      </c>
      <c r="D421" s="11" t="s">
        <v>25</v>
      </c>
    </row>
    <row r="422" ht="15.75" customHeight="1"/>
    <row r="423" ht="15.75" customHeight="1">
      <c r="A423" s="11" t="s">
        <v>525</v>
      </c>
      <c r="B423" s="11">
        <v>27.2931906</v>
      </c>
      <c r="C423" s="11">
        <v>2.95</v>
      </c>
      <c r="D423" s="11">
        <v>2.95</v>
      </c>
    </row>
    <row r="424" ht="15.75" customHeight="1">
      <c r="A424" s="11">
        <v>1.0</v>
      </c>
      <c r="B424" s="11">
        <v>21.5268671</v>
      </c>
      <c r="C424" s="11">
        <v>2.33</v>
      </c>
      <c r="D424" s="11">
        <v>5.28</v>
      </c>
    </row>
    <row r="425" ht="15.75" customHeight="1">
      <c r="A425" s="11">
        <v>2.0</v>
      </c>
      <c r="B425" s="11">
        <v>46.6034295</v>
      </c>
      <c r="C425" s="11">
        <v>5.04</v>
      </c>
      <c r="D425" s="11">
        <v>10.33</v>
      </c>
    </row>
    <row r="426" ht="15.75" customHeight="1">
      <c r="A426" s="11">
        <v>3.0</v>
      </c>
      <c r="B426" s="11">
        <v>81.9112426</v>
      </c>
      <c r="C426" s="11">
        <v>8.86</v>
      </c>
      <c r="D426" s="11">
        <v>19.19</v>
      </c>
    </row>
    <row r="427" ht="15.75" customHeight="1">
      <c r="A427" s="11">
        <v>4.0</v>
      </c>
      <c r="B427" s="11">
        <v>102.112768</v>
      </c>
      <c r="C427" s="11">
        <v>11.05</v>
      </c>
      <c r="D427" s="11">
        <v>30.24</v>
      </c>
    </row>
    <row r="428" ht="15.75" customHeight="1">
      <c r="A428" s="11">
        <v>5.0</v>
      </c>
      <c r="B428" s="11">
        <v>154.9250623</v>
      </c>
      <c r="C428" s="11">
        <v>16.77</v>
      </c>
      <c r="D428" s="11">
        <v>47.01</v>
      </c>
    </row>
    <row r="429" ht="15.75" customHeight="1">
      <c r="A429" s="11">
        <v>6.0</v>
      </c>
      <c r="B429" s="11">
        <v>116.887743</v>
      </c>
      <c r="C429" s="11">
        <v>12.65</v>
      </c>
      <c r="D429" s="11">
        <v>59.66</v>
      </c>
    </row>
    <row r="430" ht="15.75" customHeight="1">
      <c r="A430" s="11">
        <v>7.0</v>
      </c>
      <c r="B430" s="11">
        <v>140.640168</v>
      </c>
      <c r="C430" s="11">
        <v>15.22</v>
      </c>
      <c r="D430" s="11">
        <v>74.88</v>
      </c>
    </row>
    <row r="431" ht="15.75" customHeight="1">
      <c r="A431" s="11">
        <v>8.0</v>
      </c>
      <c r="B431" s="11">
        <v>135.456485</v>
      </c>
      <c r="C431" s="11">
        <v>14.66</v>
      </c>
      <c r="D431" s="11">
        <v>89.54</v>
      </c>
    </row>
    <row r="432" ht="15.75" customHeight="1">
      <c r="A432" s="11">
        <v>9.0</v>
      </c>
      <c r="B432" s="11">
        <v>58.8817142</v>
      </c>
      <c r="C432" s="11">
        <v>6.37</v>
      </c>
      <c r="D432" s="11">
        <v>95.91</v>
      </c>
    </row>
    <row r="433" ht="15.75" customHeight="1">
      <c r="A433" s="11" t="s">
        <v>526</v>
      </c>
      <c r="B433" s="11">
        <v>37.7613296</v>
      </c>
      <c r="C433" s="11">
        <v>4.09</v>
      </c>
      <c r="D433" s="11">
        <v>100.0</v>
      </c>
    </row>
    <row r="434" ht="15.75" customHeight="1"/>
    <row r="435" ht="15.75" customHeight="1">
      <c r="A435" s="11" t="s">
        <v>32</v>
      </c>
      <c r="B435" s="11">
        <v>924.0</v>
      </c>
      <c r="C435" s="11">
        <v>100.0</v>
      </c>
    </row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266:O266"/>
    <mergeCell ref="F353:O353"/>
    <mergeCell ref="L375:U375"/>
    <mergeCell ref="H3:Q3"/>
    <mergeCell ref="N23:W23"/>
    <mergeCell ref="G88:P88"/>
    <mergeCell ref="M110:V110"/>
    <mergeCell ref="G178:P178"/>
    <mergeCell ref="L199:U199"/>
    <mergeCell ref="L287:U28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71"/>
    <col customWidth="1" min="3" max="3" width="12.43"/>
    <col customWidth="1" min="4" max="4" width="10.57"/>
    <col customWidth="1" min="5" max="5" width="9.57"/>
    <col customWidth="1" min="6" max="6" width="8.71"/>
    <col customWidth="1" min="7" max="7" width="10.71"/>
    <col customWidth="1" min="8" max="35" width="8.71"/>
  </cols>
  <sheetData>
    <row r="1">
      <c r="A1" s="1" t="s">
        <v>0</v>
      </c>
      <c r="B1" s="1"/>
      <c r="G1" s="2">
        <v>43882.0</v>
      </c>
    </row>
    <row r="2">
      <c r="A2" s="5" t="s">
        <v>556</v>
      </c>
      <c r="B2" s="5"/>
    </row>
    <row r="5">
      <c r="A5" s="8" t="s">
        <v>556</v>
      </c>
      <c r="B5" s="8"/>
    </row>
    <row r="6">
      <c r="A6" s="11" t="s">
        <v>557</v>
      </c>
    </row>
    <row r="7">
      <c r="G7" s="24" t="s">
        <v>558</v>
      </c>
    </row>
    <row r="8">
      <c r="A8" s="62" t="s">
        <v>559</v>
      </c>
      <c r="B8" s="62" t="s">
        <v>560</v>
      </c>
      <c r="C8" s="62" t="s">
        <v>556</v>
      </c>
      <c r="D8" s="62"/>
    </row>
    <row r="9">
      <c r="A9" s="11" t="s">
        <v>98</v>
      </c>
      <c r="B9" s="11">
        <v>2002.0</v>
      </c>
      <c r="C9" s="73">
        <v>0.34177666934032</v>
      </c>
      <c r="D9" s="74"/>
    </row>
    <row r="10">
      <c r="A10" s="11" t="s">
        <v>99</v>
      </c>
      <c r="B10" s="11">
        <v>2004.0</v>
      </c>
      <c r="C10" s="73">
        <v>0.7159784233616228</v>
      </c>
      <c r="D10" s="74"/>
    </row>
    <row r="11">
      <c r="A11" s="11" t="s">
        <v>100</v>
      </c>
      <c r="B11" s="11">
        <v>2006.0</v>
      </c>
      <c r="C11" s="73">
        <v>0.6761375015865915</v>
      </c>
      <c r="D11" s="74"/>
    </row>
    <row r="12">
      <c r="A12" s="11" t="s">
        <v>101</v>
      </c>
      <c r="B12" s="11">
        <v>2008.0</v>
      </c>
      <c r="C12" s="73">
        <v>0.09033547883088829</v>
      </c>
      <c r="D12" s="74"/>
    </row>
    <row r="13">
      <c r="A13" s="11" t="s">
        <v>102</v>
      </c>
      <c r="B13" s="11">
        <v>2010.0</v>
      </c>
      <c r="C13" s="73">
        <v>0.08031218480841819</v>
      </c>
      <c r="D13" s="74"/>
    </row>
    <row r="14">
      <c r="A14" s="11" t="s">
        <v>103</v>
      </c>
      <c r="B14" s="11">
        <v>2012.0</v>
      </c>
      <c r="C14" s="73">
        <v>0.1210749657274542</v>
      </c>
      <c r="D14" s="74"/>
    </row>
    <row r="15">
      <c r="A15" s="11" t="s">
        <v>104</v>
      </c>
      <c r="B15" s="11">
        <v>2014.0</v>
      </c>
      <c r="C15" s="73">
        <v>0.30598446134614077</v>
      </c>
      <c r="D15" s="74"/>
    </row>
    <row r="16">
      <c r="A16" s="11" t="s">
        <v>105</v>
      </c>
      <c r="B16" s="11">
        <v>2016.0</v>
      </c>
      <c r="C16" s="73">
        <v>0.48382873258906967</v>
      </c>
      <c r="D16" s="74"/>
    </row>
    <row r="17">
      <c r="A17" s="11" t="s">
        <v>106</v>
      </c>
      <c r="B17" s="11">
        <v>2018.0</v>
      </c>
      <c r="C17" s="73">
        <v>0.5382876483936956</v>
      </c>
      <c r="D17" s="7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8" t="s">
        <v>561</v>
      </c>
    </row>
    <row r="29" ht="15.75" customHeight="1">
      <c r="A29" s="11" t="s">
        <v>557</v>
      </c>
    </row>
    <row r="30" ht="15.75" customHeight="1"/>
    <row r="31" ht="15.75" customHeight="1">
      <c r="A31" s="11" t="s">
        <v>562</v>
      </c>
      <c r="B31" s="11">
        <v>1.0</v>
      </c>
      <c r="C31" s="11">
        <v>2.0</v>
      </c>
      <c r="D31" s="11">
        <v>3.0</v>
      </c>
      <c r="E31" s="11">
        <v>4.0</v>
      </c>
      <c r="F31" s="11">
        <v>5.0</v>
      </c>
      <c r="G31" s="11">
        <v>6.0</v>
      </c>
      <c r="H31" s="11">
        <v>7.0</v>
      </c>
      <c r="I31" s="11">
        <v>8.0</v>
      </c>
      <c r="J31" s="11">
        <v>9.0</v>
      </c>
      <c r="K31" s="11" t="s">
        <v>563</v>
      </c>
      <c r="M31" s="11" t="s">
        <v>562</v>
      </c>
      <c r="N31" s="11">
        <v>1.0</v>
      </c>
      <c r="O31" s="11">
        <v>2.0</v>
      </c>
      <c r="P31" s="11">
        <v>3.0</v>
      </c>
      <c r="Q31" s="11">
        <v>4.0</v>
      </c>
      <c r="R31" s="11">
        <v>5.0</v>
      </c>
      <c r="S31" s="11">
        <v>6.0</v>
      </c>
      <c r="T31" s="11">
        <v>7.0</v>
      </c>
      <c r="U31" s="11">
        <v>8.0</v>
      </c>
      <c r="V31" s="11">
        <v>9.0</v>
      </c>
      <c r="W31" s="11" t="s">
        <v>563</v>
      </c>
    </row>
    <row r="32" ht="15.75" customHeight="1">
      <c r="B32" s="12" t="s">
        <v>98</v>
      </c>
      <c r="C32" s="12" t="s">
        <v>99</v>
      </c>
      <c r="D32" s="12" t="s">
        <v>100</v>
      </c>
      <c r="E32" s="12" t="s">
        <v>101</v>
      </c>
      <c r="F32" s="12" t="s">
        <v>102</v>
      </c>
      <c r="G32" s="12" t="s">
        <v>103</v>
      </c>
      <c r="H32" s="12" t="s">
        <v>104</v>
      </c>
      <c r="I32" s="12" t="s">
        <v>105</v>
      </c>
      <c r="J32" s="12" t="s">
        <v>106</v>
      </c>
    </row>
    <row r="33" ht="15.75" customHeight="1">
      <c r="A33" s="11" t="s">
        <v>564</v>
      </c>
      <c r="B33" s="12">
        <v>103.815307</v>
      </c>
      <c r="C33" s="12">
        <v>38.895137</v>
      </c>
      <c r="D33" s="12">
        <v>30.104805</v>
      </c>
      <c r="E33" s="12">
        <v>290.62154</v>
      </c>
      <c r="F33" s="12">
        <v>433.12988</v>
      </c>
      <c r="G33" s="12">
        <v>526.0874</v>
      </c>
      <c r="H33" s="12">
        <v>166.09852</v>
      </c>
      <c r="I33" s="12">
        <v>88.580247</v>
      </c>
      <c r="J33" s="12">
        <v>69.047134</v>
      </c>
      <c r="K33" s="12">
        <v>1746.3799700000002</v>
      </c>
      <c r="M33" s="11" t="s">
        <v>525</v>
      </c>
      <c r="N33" s="12">
        <v>5.25724638941059</v>
      </c>
      <c r="O33" s="12">
        <v>1.7498982406826473</v>
      </c>
      <c r="P33" s="12">
        <v>1.7040983393589288</v>
      </c>
      <c r="Q33" s="12">
        <v>16.578415706309272</v>
      </c>
      <c r="R33" s="12">
        <v>16.923444963902405</v>
      </c>
      <c r="S33" s="12">
        <v>20.18072135693452</v>
      </c>
      <c r="T33" s="12">
        <v>7.022719760827424</v>
      </c>
      <c r="U33" s="12">
        <v>3.240989144772529</v>
      </c>
      <c r="V33" s="12">
        <v>3.1545909111903327</v>
      </c>
      <c r="W33" s="12">
        <v>8.658160113032993</v>
      </c>
      <c r="Z33" s="12" t="s">
        <v>98</v>
      </c>
      <c r="AA33" s="12" t="s">
        <v>99</v>
      </c>
      <c r="AB33" s="12" t="s">
        <v>100</v>
      </c>
      <c r="AC33" s="12" t="s">
        <v>101</v>
      </c>
      <c r="AD33" s="12" t="s">
        <v>102</v>
      </c>
      <c r="AE33" s="12" t="s">
        <v>103</v>
      </c>
      <c r="AF33" s="12" t="s">
        <v>104</v>
      </c>
      <c r="AG33" s="12" t="s">
        <v>105</v>
      </c>
      <c r="AH33" s="12" t="s">
        <v>106</v>
      </c>
      <c r="AI33" s="12"/>
    </row>
    <row r="34" ht="15.75" customHeight="1">
      <c r="A34" s="11">
        <v>1.0</v>
      </c>
      <c r="B34" s="12">
        <v>112.20485</v>
      </c>
      <c r="C34" s="12">
        <v>32.574467</v>
      </c>
      <c r="D34" s="12">
        <v>16.766862</v>
      </c>
      <c r="E34" s="12">
        <v>246.18101</v>
      </c>
      <c r="F34" s="12">
        <v>427.41849</v>
      </c>
      <c r="G34" s="12">
        <v>228.18367</v>
      </c>
      <c r="H34" s="12">
        <v>109.06541</v>
      </c>
      <c r="I34" s="12">
        <v>43.924227</v>
      </c>
      <c r="J34" s="12">
        <v>56.280243</v>
      </c>
      <c r="K34" s="12">
        <v>1272.599229</v>
      </c>
      <c r="M34" s="11">
        <v>1.0</v>
      </c>
      <c r="N34" s="12">
        <v>5.682096018238012</v>
      </c>
      <c r="O34" s="12">
        <v>1.4655303179540144</v>
      </c>
      <c r="P34" s="12">
        <v>0.9490970524625664</v>
      </c>
      <c r="Q34" s="12">
        <v>14.04331944142571</v>
      </c>
      <c r="R34" s="12">
        <v>16.700286971818407</v>
      </c>
      <c r="S34" s="12">
        <v>8.753129351648983</v>
      </c>
      <c r="T34" s="12">
        <v>4.611334345602507</v>
      </c>
      <c r="U34" s="12">
        <v>1.6071070890051191</v>
      </c>
      <c r="V34" s="12">
        <v>2.5713035829609283</v>
      </c>
      <c r="W34" s="12">
        <v>6.309261485863433</v>
      </c>
      <c r="Y34" s="17" t="s">
        <v>565</v>
      </c>
      <c r="Z34" s="12">
        <v>34.177666934032004</v>
      </c>
      <c r="AA34" s="12">
        <v>71.59784233616227</v>
      </c>
      <c r="AB34" s="12">
        <v>67.61375015865914</v>
      </c>
      <c r="AC34" s="12">
        <v>9.03354788308883</v>
      </c>
      <c r="AD34" s="12">
        <v>8.031218480841819</v>
      </c>
      <c r="AE34" s="12">
        <v>12.10749657274542</v>
      </c>
      <c r="AF34" s="12">
        <v>30.598446134614075</v>
      </c>
      <c r="AG34" s="12">
        <v>48.38287325890697</v>
      </c>
      <c r="AH34" s="12">
        <v>53.82876483936956</v>
      </c>
      <c r="AI34" s="12">
        <v>36.51197418816885</v>
      </c>
    </row>
    <row r="35" ht="15.75" customHeight="1">
      <c r="A35" s="11">
        <v>2.0</v>
      </c>
      <c r="B35" s="12">
        <v>162.85291</v>
      </c>
      <c r="C35" s="12">
        <v>37.127051</v>
      </c>
      <c r="D35" s="12">
        <v>46.398572</v>
      </c>
      <c r="E35" s="12">
        <v>355.6897</v>
      </c>
      <c r="F35" s="12">
        <v>539.08397</v>
      </c>
      <c r="G35" s="12">
        <v>453.799085</v>
      </c>
      <c r="H35" s="12">
        <v>237.882642</v>
      </c>
      <c r="I35" s="12">
        <v>173.67984</v>
      </c>
      <c r="J35" s="12">
        <v>87.649559</v>
      </c>
      <c r="K35" s="12">
        <v>2094.1633290000004</v>
      </c>
      <c r="M35" s="11">
        <v>2.0</v>
      </c>
      <c r="N35" s="12">
        <v>8.24693292196793</v>
      </c>
      <c r="O35" s="12">
        <v>1.670351777566304</v>
      </c>
      <c r="P35" s="12">
        <v>2.626415600228127</v>
      </c>
      <c r="Q35" s="12">
        <v>20.290208733504176</v>
      </c>
      <c r="R35" s="12">
        <v>21.063330697057925</v>
      </c>
      <c r="S35" s="12">
        <v>17.40774039906077</v>
      </c>
      <c r="T35" s="12">
        <v>10.057784565035472</v>
      </c>
      <c r="U35" s="12">
        <v>6.354627528932378</v>
      </c>
      <c r="V35" s="12">
        <v>4.00448919706415</v>
      </c>
      <c r="W35" s="12">
        <v>10.382391986163348</v>
      </c>
      <c r="Y35" s="17" t="s">
        <v>566</v>
      </c>
      <c r="Z35" s="12">
        <v>45.62681230648569</v>
      </c>
      <c r="AA35" s="12">
        <v>13.799508325235525</v>
      </c>
      <c r="AB35" s="12">
        <v>18.33294636974589</v>
      </c>
      <c r="AC35" s="12">
        <v>82.47681657542468</v>
      </c>
      <c r="AD35" s="12">
        <v>85.0453537510404</v>
      </c>
      <c r="AE35" s="12">
        <v>77.60692602772485</v>
      </c>
      <c r="AF35" s="12">
        <v>50.11229591734812</v>
      </c>
      <c r="AG35" s="12">
        <v>32.90641856429512</v>
      </c>
      <c r="AH35" s="12">
        <v>30.19543112156069</v>
      </c>
      <c r="AI35" s="12">
        <v>49.19436090970939</v>
      </c>
    </row>
    <row r="36" ht="15.75" customHeight="1">
      <c r="A36" s="11">
        <v>3.0</v>
      </c>
      <c r="B36" s="12">
        <v>240.94123</v>
      </c>
      <c r="C36" s="12">
        <v>62.88476</v>
      </c>
      <c r="D36" s="12">
        <v>81.3269334</v>
      </c>
      <c r="E36" s="12">
        <v>335.02966</v>
      </c>
      <c r="F36" s="12">
        <v>471.01949</v>
      </c>
      <c r="G36" s="12">
        <v>438.08038</v>
      </c>
      <c r="H36" s="12">
        <v>329.65005</v>
      </c>
      <c r="I36" s="12">
        <v>265.25194</v>
      </c>
      <c r="J36" s="12">
        <v>203.439238</v>
      </c>
      <c r="K36" s="12">
        <v>2427.6236813999994</v>
      </c>
      <c r="M36" s="11">
        <v>3.0</v>
      </c>
      <c r="N36" s="12">
        <v>12.201354964712925</v>
      </c>
      <c r="O36" s="12">
        <v>2.8291950967996464</v>
      </c>
      <c r="P36" s="12">
        <v>4.6035538895566415</v>
      </c>
      <c r="Q36" s="12">
        <v>19.111663152784395</v>
      </c>
      <c r="R36" s="12">
        <v>18.403884802268497</v>
      </c>
      <c r="S36" s="12">
        <v>16.804770615528884</v>
      </c>
      <c r="T36" s="12">
        <v>13.937751644582677</v>
      </c>
      <c r="U36" s="12">
        <v>9.705083100184336</v>
      </c>
      <c r="V36" s="12">
        <v>9.294630117077517</v>
      </c>
      <c r="W36" s="12">
        <v>12.03561360575602</v>
      </c>
      <c r="Y36" s="17" t="s">
        <v>567</v>
      </c>
      <c r="Z36" s="12">
        <v>20.195522516703416</v>
      </c>
      <c r="AA36" s="12">
        <v>14.6026530008008</v>
      </c>
      <c r="AB36" s="12">
        <v>14.053313700213629</v>
      </c>
      <c r="AC36" s="12">
        <v>8.489649317779154</v>
      </c>
      <c r="AD36" s="12">
        <v>6.9234405721591825</v>
      </c>
      <c r="AE36" s="12">
        <v>10.285559190029877</v>
      </c>
      <c r="AF36" s="12">
        <v>19.289278496335324</v>
      </c>
      <c r="AG36" s="12">
        <v>18.710712347849295</v>
      </c>
      <c r="AH36" s="12">
        <v>15.975804313194745</v>
      </c>
      <c r="AI36" s="12">
        <v>14.29366984651145</v>
      </c>
    </row>
    <row r="37" ht="15.75" customHeight="1">
      <c r="A37" s="11">
        <v>4.0</v>
      </c>
      <c r="B37" s="12">
        <v>281.18238</v>
      </c>
      <c r="C37" s="12">
        <v>135.24143</v>
      </c>
      <c r="D37" s="12">
        <v>149.27485</v>
      </c>
      <c r="E37" s="12">
        <v>218.3062</v>
      </c>
      <c r="F37" s="12">
        <v>305.95488</v>
      </c>
      <c r="G37" s="12">
        <v>376.96971</v>
      </c>
      <c r="H37" s="12">
        <v>342.53908</v>
      </c>
      <c r="I37" s="12">
        <v>327.936917</v>
      </c>
      <c r="J37" s="12">
        <v>244.49614</v>
      </c>
      <c r="K37" s="12">
        <v>2381.9015870000003</v>
      </c>
      <c r="M37" s="11">
        <v>4.0</v>
      </c>
      <c r="N37" s="12">
        <v>14.239182012156228</v>
      </c>
      <c r="O37" s="12">
        <v>6.084532892232913</v>
      </c>
      <c r="P37" s="12">
        <v>8.449781488139624</v>
      </c>
      <c r="Q37" s="12">
        <v>12.45320954140114</v>
      </c>
      <c r="R37" s="12">
        <v>11.954406315993172</v>
      </c>
      <c r="S37" s="12">
        <v>14.460564304551703</v>
      </c>
      <c r="T37" s="12">
        <v>14.482705601300037</v>
      </c>
      <c r="U37" s="12">
        <v>11.998611701400762</v>
      </c>
      <c r="V37" s="12">
        <v>11.170417313267762</v>
      </c>
      <c r="W37" s="12">
        <v>11.808933718893595</v>
      </c>
    </row>
    <row r="38" ht="15.75" customHeight="1">
      <c r="A38" s="11">
        <v>5.0</v>
      </c>
      <c r="B38" s="12">
        <v>398.80276</v>
      </c>
      <c r="C38" s="12">
        <v>324.57441</v>
      </c>
      <c r="D38" s="12">
        <v>248.26752</v>
      </c>
      <c r="E38" s="12">
        <v>148.824532</v>
      </c>
      <c r="F38" s="12">
        <v>177.19495</v>
      </c>
      <c r="G38" s="12">
        <v>268.132293</v>
      </c>
      <c r="H38" s="12">
        <v>456.222193</v>
      </c>
      <c r="I38" s="12">
        <v>511.38694</v>
      </c>
      <c r="J38" s="12">
        <v>349.67561</v>
      </c>
      <c r="K38" s="12">
        <v>2883.0812079999996</v>
      </c>
      <c r="M38" s="11">
        <v>5.0</v>
      </c>
      <c r="N38" s="12">
        <v>20.195522516703416</v>
      </c>
      <c r="O38" s="12">
        <v>14.6026530008008</v>
      </c>
      <c r="P38" s="12">
        <v>14.053313700213629</v>
      </c>
      <c r="Q38" s="12">
        <v>8.489649317779154</v>
      </c>
      <c r="R38" s="12">
        <v>6.9234405721591825</v>
      </c>
      <c r="S38" s="12">
        <v>10.285559190029877</v>
      </c>
      <c r="T38" s="12">
        <v>19.289278496335324</v>
      </c>
      <c r="U38" s="12">
        <v>18.710712347849295</v>
      </c>
      <c r="V38" s="12">
        <v>15.975804313194745</v>
      </c>
      <c r="W38" s="12">
        <v>14.29366984651145</v>
      </c>
    </row>
    <row r="39" ht="15.75" customHeight="1">
      <c r="A39" s="11">
        <v>6.0</v>
      </c>
      <c r="B39" s="12">
        <v>266.46913</v>
      </c>
      <c r="C39" s="12">
        <v>299.38668</v>
      </c>
      <c r="D39" s="12">
        <v>233.6005</v>
      </c>
      <c r="E39" s="12">
        <v>76.577186</v>
      </c>
      <c r="F39" s="12">
        <v>103.74022</v>
      </c>
      <c r="G39" s="12">
        <v>172.47495</v>
      </c>
      <c r="H39" s="12">
        <v>328.66094</v>
      </c>
      <c r="I39" s="12">
        <v>598.40357</v>
      </c>
      <c r="J39" s="12">
        <v>385.196743</v>
      </c>
      <c r="K39" s="12">
        <v>2464.5099189999996</v>
      </c>
      <c r="M39" s="11">
        <v>6.0</v>
      </c>
      <c r="N39" s="12">
        <v>13.494097470442206</v>
      </c>
      <c r="O39" s="12">
        <v>13.469453125099385</v>
      </c>
      <c r="P39" s="12">
        <v>13.223079309878127</v>
      </c>
      <c r="Q39" s="12">
        <v>4.368321849534507</v>
      </c>
      <c r="R39" s="12">
        <v>4.053384411422106</v>
      </c>
      <c r="S39" s="12">
        <v>6.616141931932248</v>
      </c>
      <c r="T39" s="12">
        <v>13.895931631119387</v>
      </c>
      <c r="U39" s="12">
        <v>21.89449160785393</v>
      </c>
      <c r="V39" s="12">
        <v>17.598676065076337</v>
      </c>
      <c r="W39" s="12">
        <v>12.218487296816607</v>
      </c>
    </row>
    <row r="40" ht="15.75" customHeight="1">
      <c r="A40" s="11">
        <v>7.0</v>
      </c>
      <c r="B40" s="12">
        <v>235.31164</v>
      </c>
      <c r="C40" s="12">
        <v>453.93256</v>
      </c>
      <c r="D40" s="12">
        <v>355.50436</v>
      </c>
      <c r="E40" s="12">
        <v>43.821419</v>
      </c>
      <c r="F40" s="12">
        <v>57.134822</v>
      </c>
      <c r="G40" s="12">
        <v>84.902835</v>
      </c>
      <c r="H40" s="12">
        <v>229.97081</v>
      </c>
      <c r="I40" s="12">
        <v>475.5096</v>
      </c>
      <c r="J40" s="12">
        <v>393.03907</v>
      </c>
      <c r="K40" s="12">
        <v>2329.127116</v>
      </c>
      <c r="M40" s="11">
        <v>7.0</v>
      </c>
      <c r="N40" s="12">
        <v>11.91627039908753</v>
      </c>
      <c r="O40" s="12">
        <v>20.422496214181486</v>
      </c>
      <c r="P40" s="12">
        <v>20.123511496283033</v>
      </c>
      <c r="Q40" s="12">
        <v>2.4997792697071235</v>
      </c>
      <c r="R40" s="12">
        <v>2.232397394609119</v>
      </c>
      <c r="S40" s="12">
        <v>3.2568741535128716</v>
      </c>
      <c r="T40" s="12">
        <v>9.723268767238196</v>
      </c>
      <c r="U40" s="12">
        <v>17.398026129178973</v>
      </c>
      <c r="V40" s="12">
        <v>17.956972377227142</v>
      </c>
      <c r="W40" s="12">
        <v>11.547289730959733</v>
      </c>
    </row>
    <row r="41" ht="15.75" customHeight="1">
      <c r="A41" s="11">
        <v>8.0</v>
      </c>
      <c r="B41" s="12">
        <v>121.72142</v>
      </c>
      <c r="C41" s="12">
        <v>515.17164</v>
      </c>
      <c r="D41" s="12">
        <v>367.00949</v>
      </c>
      <c r="E41" s="12">
        <v>18.494841</v>
      </c>
      <c r="F41" s="12">
        <v>28.83911</v>
      </c>
      <c r="G41" s="12">
        <v>35.227951</v>
      </c>
      <c r="H41" s="12">
        <v>115.3629</v>
      </c>
      <c r="I41" s="12">
        <v>200.47806</v>
      </c>
      <c r="J41" s="12">
        <v>311.38659</v>
      </c>
      <c r="K41" s="12">
        <v>1713.692002</v>
      </c>
      <c r="M41" s="11">
        <v>8.0</v>
      </c>
      <c r="N41" s="12">
        <v>6.1640187203697225</v>
      </c>
      <c r="O41" s="12">
        <v>23.17765191277239</v>
      </c>
      <c r="P41" s="12">
        <v>20.774765438207208</v>
      </c>
      <c r="Q41" s="12">
        <v>1.0550324746062962</v>
      </c>
      <c r="R41" s="12">
        <v>1.126814642510758</v>
      </c>
      <c r="S41" s="12">
        <v>1.351344782457711</v>
      </c>
      <c r="T41" s="12">
        <v>4.877595041162064</v>
      </c>
      <c r="U41" s="12">
        <v>7.335125360680647</v>
      </c>
      <c r="V41" s="12">
        <v>14.226474724940076</v>
      </c>
      <c r="W41" s="12">
        <v>8.496100500820594</v>
      </c>
    </row>
    <row r="42" ht="15.75" customHeight="1">
      <c r="A42" s="11">
        <v>9.0</v>
      </c>
      <c r="B42" s="12">
        <v>31.778011</v>
      </c>
      <c r="C42" s="12">
        <v>221.66812</v>
      </c>
      <c r="D42" s="12">
        <v>149.38657</v>
      </c>
      <c r="E42" s="12">
        <v>13.650655</v>
      </c>
      <c r="F42" s="12">
        <v>7.6084979</v>
      </c>
      <c r="G42" s="12">
        <v>13.461569</v>
      </c>
      <c r="H42" s="12">
        <v>32.099375</v>
      </c>
      <c r="I42" s="12">
        <v>30.353871</v>
      </c>
      <c r="J42" s="12">
        <v>58.125496</v>
      </c>
      <c r="K42" s="12">
        <v>558.1321648999999</v>
      </c>
      <c r="M42" s="11">
        <v>9.0</v>
      </c>
      <c r="N42" s="12">
        <v>1.609250489356064</v>
      </c>
      <c r="O42" s="12">
        <v>9.972883067706636</v>
      </c>
      <c r="P42" s="12">
        <v>8.4561054575682</v>
      </c>
      <c r="Q42" s="12">
        <v>0.7786973851057607</v>
      </c>
      <c r="R42" s="12">
        <v>0.29728264295369555</v>
      </c>
      <c r="S42" s="12">
        <v>0.5163860092755457</v>
      </c>
      <c r="T42" s="12">
        <v>1.357175940656845</v>
      </c>
      <c r="U42" s="12">
        <v>1.1105925953539697</v>
      </c>
      <c r="V42" s="12">
        <v>2.655608578772148</v>
      </c>
      <c r="W42" s="12">
        <v>2.7670940636921824</v>
      </c>
    </row>
    <row r="43" ht="15.75" customHeight="1">
      <c r="A43" s="11" t="s">
        <v>526</v>
      </c>
      <c r="B43" s="12">
        <v>19.629195</v>
      </c>
      <c r="C43" s="12">
        <v>101.25233</v>
      </c>
      <c r="D43" s="12">
        <v>88.971674</v>
      </c>
      <c r="E43" s="12">
        <v>5.8150356</v>
      </c>
      <c r="F43" s="12">
        <v>8.2241938</v>
      </c>
      <c r="G43" s="12">
        <v>9.5607283</v>
      </c>
      <c r="H43" s="12">
        <v>17.608015</v>
      </c>
      <c r="I43" s="12">
        <v>17.618743</v>
      </c>
      <c r="J43" s="12">
        <v>30.446689</v>
      </c>
      <c r="K43" s="12">
        <v>299.1266037</v>
      </c>
      <c r="M43" s="11" t="s">
        <v>526</v>
      </c>
      <c r="N43" s="12">
        <v>0.9940298547764869</v>
      </c>
      <c r="O43" s="12">
        <v>4.55535801640238</v>
      </c>
      <c r="P43" s="12">
        <v>5.0362884567225725</v>
      </c>
      <c r="Q43" s="12">
        <v>0.33171690413514276</v>
      </c>
      <c r="R43" s="12">
        <v>0.3213393893461411</v>
      </c>
      <c r="S43" s="12">
        <v>0.36674969556704506</v>
      </c>
      <c r="T43" s="12">
        <v>0.7444747544375815</v>
      </c>
      <c r="U43" s="12">
        <v>0.6446375658394471</v>
      </c>
      <c r="V43" s="12">
        <v>1.391033093353863</v>
      </c>
      <c r="W43" s="12">
        <v>1.483002595879731</v>
      </c>
    </row>
    <row r="44" ht="15.75" customHeight="1">
      <c r="A44" s="11" t="s">
        <v>158</v>
      </c>
      <c r="B44" s="12">
        <v>47.035683</v>
      </c>
      <c r="C44" s="12">
        <v>45.042522</v>
      </c>
      <c r="D44" s="12">
        <v>36.837933</v>
      </c>
      <c r="E44" s="12">
        <v>9.9434629</v>
      </c>
      <c r="F44" s="12">
        <v>15.125824</v>
      </c>
      <c r="G44" s="12">
        <v>19.562954</v>
      </c>
      <c r="H44" s="12">
        <v>23.424551</v>
      </c>
      <c r="I44" s="12">
        <v>22.243159</v>
      </c>
      <c r="J44" s="12">
        <v>27.217494</v>
      </c>
      <c r="K44" s="12">
        <v>246.43358289999995</v>
      </c>
      <c r="M44" s="11" t="s">
        <v>158</v>
      </c>
      <c r="N44" s="12">
        <v>2.381904766945505</v>
      </c>
      <c r="O44" s="12">
        <v>2.0264700444096504</v>
      </c>
      <c r="P44" s="12">
        <v>2.085230595272598</v>
      </c>
      <c r="Q44" s="12">
        <v>0.5672217603570043</v>
      </c>
      <c r="R44" s="12">
        <v>0.591002980440126</v>
      </c>
      <c r="S44" s="12">
        <v>0.7504352386932811</v>
      </c>
      <c r="T44" s="12">
        <v>0.9904004996324458</v>
      </c>
      <c r="U44" s="12">
        <v>0.8138364850625149</v>
      </c>
      <c r="V44" s="12">
        <v>1.2434992478873548</v>
      </c>
      <c r="W44" s="12">
        <v>1.2217624197651493</v>
      </c>
    </row>
    <row r="45" ht="15.75" customHeight="1">
      <c r="A45" s="11" t="s">
        <v>568</v>
      </c>
      <c r="B45" s="12">
        <v>23.3295187</v>
      </c>
      <c r="C45" s="12">
        <v>16.8949744</v>
      </c>
      <c r="D45" s="12">
        <v>6.0051113</v>
      </c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/>
      <c r="K45" s="12">
        <v>46.22960440000001</v>
      </c>
      <c r="M45" s="11" t="s">
        <v>568</v>
      </c>
      <c r="N45" s="12">
        <v>1.1814156456933835</v>
      </c>
      <c r="O45" s="12">
        <v>0.7601075162413842</v>
      </c>
      <c r="P45" s="12">
        <v>0.3399224872572847</v>
      </c>
      <c r="Q45" s="12">
        <v>0.0</v>
      </c>
      <c r="R45" s="12">
        <v>0.0</v>
      </c>
      <c r="S45" s="12">
        <v>0.0</v>
      </c>
      <c r="T45" s="12">
        <v>0.0</v>
      </c>
      <c r="U45" s="12">
        <v>0.0</v>
      </c>
      <c r="V45" s="12">
        <v>0.0</v>
      </c>
      <c r="W45" s="12">
        <v>0.2291960075889868</v>
      </c>
    </row>
    <row r="46" ht="15.75" customHeight="1">
      <c r="B46" s="12"/>
      <c r="C46" s="12"/>
      <c r="D46" s="12"/>
      <c r="E46" s="12"/>
      <c r="F46" s="12"/>
      <c r="G46" s="12"/>
      <c r="H46" s="12"/>
      <c r="I46" s="12"/>
      <c r="J46" s="12"/>
      <c r="K46" s="12">
        <v>0.0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ht="15.75" customHeight="1">
      <c r="A47" s="11" t="s">
        <v>32</v>
      </c>
      <c r="B47" s="12">
        <v>2045.074</v>
      </c>
      <c r="C47" s="12">
        <v>2284.646</v>
      </c>
      <c r="D47" s="12">
        <v>1809.455</v>
      </c>
      <c r="E47" s="12">
        <v>1762.955</v>
      </c>
      <c r="F47" s="12">
        <v>2574.474</v>
      </c>
      <c r="G47" s="12">
        <v>2626.444</v>
      </c>
      <c r="H47" s="12">
        <v>2388.584</v>
      </c>
      <c r="I47" s="12">
        <v>2755.367</v>
      </c>
      <c r="J47" s="12">
        <v>2216.0</v>
      </c>
      <c r="K47" s="12">
        <v>20462.998999999996</v>
      </c>
      <c r="M47" s="11" t="s">
        <v>32</v>
      </c>
      <c r="N47" s="12">
        <v>103.56332041263887</v>
      </c>
      <c r="O47" s="12">
        <v>102.78657756065103</v>
      </c>
      <c r="P47" s="12">
        <v>102.42515308252989</v>
      </c>
      <c r="Q47" s="12">
        <v>100.56722176035701</v>
      </c>
      <c r="R47" s="12">
        <v>100.59100298044014</v>
      </c>
      <c r="S47" s="12">
        <v>100.75043523869329</v>
      </c>
      <c r="T47" s="12">
        <v>100.99040049963246</v>
      </c>
      <c r="U47" s="12">
        <v>100.81383648506251</v>
      </c>
      <c r="V47" s="12">
        <v>101.24349924788736</v>
      </c>
      <c r="W47" s="12">
        <v>101.45095842735414</v>
      </c>
    </row>
    <row r="48" ht="15.75" customHeight="1"/>
    <row r="49" ht="15.75" customHeight="1"/>
    <row r="50" ht="15.75" customHeight="1">
      <c r="F50" s="24" t="s">
        <v>569</v>
      </c>
    </row>
    <row r="51" ht="15.75" customHeight="1"/>
    <row r="52" ht="15.75" customHeight="1">
      <c r="A52" s="8" t="s">
        <v>570</v>
      </c>
    </row>
    <row r="53" ht="15.75" customHeight="1">
      <c r="A53" s="11" t="s">
        <v>557</v>
      </c>
    </row>
    <row r="54" ht="15.75" customHeight="1"/>
    <row r="55" ht="15.75" customHeight="1">
      <c r="A55" s="75" t="s">
        <v>84</v>
      </c>
      <c r="B55" s="76">
        <v>53.39805727941383</v>
      </c>
    </row>
    <row r="56" ht="15.75" customHeight="1">
      <c r="A56" s="75" t="s">
        <v>76</v>
      </c>
      <c r="B56" s="76">
        <v>55.00878680398427</v>
      </c>
    </row>
    <row r="57" ht="15.75" customHeight="1">
      <c r="A57" s="75" t="s">
        <v>77</v>
      </c>
      <c r="B57" s="76">
        <v>55.22914243551151</v>
      </c>
    </row>
    <row r="58" ht="15.75" customHeight="1">
      <c r="A58" s="75" t="s">
        <v>166</v>
      </c>
      <c r="B58" s="76">
        <v>51.84782551143415</v>
      </c>
    </row>
    <row r="59" ht="15.75" customHeight="1">
      <c r="A59" s="75" t="s">
        <v>79</v>
      </c>
      <c r="B59" s="76">
        <v>49.269588418127306</v>
      </c>
    </row>
    <row r="60" ht="15.75" customHeight="1">
      <c r="A60" s="75" t="s">
        <v>167</v>
      </c>
      <c r="B60" s="76">
        <v>53.35845901739187</v>
      </c>
    </row>
    <row r="61" ht="15.75" customHeight="1">
      <c r="A61" s="75" t="s">
        <v>571</v>
      </c>
      <c r="B61" s="76">
        <v>59.09090836870786</v>
      </c>
    </row>
    <row r="62" ht="15.75" customHeight="1">
      <c r="A62" s="75"/>
      <c r="B62" s="76"/>
    </row>
    <row r="63" ht="15.75" customHeight="1">
      <c r="A63" s="75" t="s">
        <v>172</v>
      </c>
      <c r="B63" s="76">
        <v>53.82</v>
      </c>
    </row>
    <row r="64" ht="15.75" customHeight="1"/>
    <row r="65" ht="15.75" customHeight="1"/>
    <row r="66" ht="15.75" customHeight="1"/>
    <row r="67" ht="15.75" customHeight="1"/>
    <row r="68" ht="15.75" customHeight="1">
      <c r="A68" s="8"/>
      <c r="B68" s="8"/>
    </row>
    <row r="69" ht="15.75" customHeight="1">
      <c r="A69" s="8"/>
      <c r="B69" s="8"/>
    </row>
    <row r="70" ht="15.75" customHeight="1">
      <c r="A70" s="8"/>
      <c r="B70" s="8"/>
    </row>
    <row r="71" ht="15.75" customHeight="1">
      <c r="A71" s="8"/>
      <c r="B71" s="8"/>
    </row>
    <row r="72" ht="15.75" customHeight="1"/>
    <row r="73" ht="15.75" customHeight="1"/>
    <row r="74" ht="15.75" customHeight="1">
      <c r="A74" s="8" t="s">
        <v>572</v>
      </c>
      <c r="B74" s="8"/>
    </row>
    <row r="75" ht="15.75" customHeight="1">
      <c r="A75" s="11" t="s">
        <v>573</v>
      </c>
    </row>
    <row r="76" ht="15.75" customHeight="1"/>
    <row r="77" ht="15.75" customHeight="1">
      <c r="A77" s="77" t="s">
        <v>574</v>
      </c>
      <c r="B77" s="78" t="s">
        <v>174</v>
      </c>
      <c r="C77" s="78" t="s">
        <v>176</v>
      </c>
      <c r="D77" s="78" t="s">
        <v>177</v>
      </c>
      <c r="E77" s="78" t="s">
        <v>179</v>
      </c>
    </row>
    <row r="78" ht="15.75" customHeight="1">
      <c r="A78" s="79" t="s">
        <v>170</v>
      </c>
      <c r="B78" s="80">
        <v>14.417453748983728</v>
      </c>
      <c r="C78" s="80">
        <v>49.0384612046897</v>
      </c>
      <c r="D78" s="80">
        <v>26.677269820041616</v>
      </c>
      <c r="E78" s="80">
        <v>9.866814402157232</v>
      </c>
      <c r="J78" s="24" t="s">
        <v>575</v>
      </c>
    </row>
    <row r="79" ht="15.75" customHeight="1">
      <c r="A79" s="79">
        <v>2.0</v>
      </c>
      <c r="B79" s="80">
        <v>29.89048625546038</v>
      </c>
      <c r="C79" s="80">
        <v>50.94648455093797</v>
      </c>
      <c r="D79" s="80">
        <v>16.263360052041605</v>
      </c>
      <c r="E79" s="80">
        <v>2.8996688048825385</v>
      </c>
    </row>
    <row r="80" ht="15.75" customHeight="1">
      <c r="A80" s="79">
        <v>3.0</v>
      </c>
      <c r="B80" s="80">
        <v>41.429660804022724</v>
      </c>
      <c r="C80" s="80">
        <v>48.89756680425468</v>
      </c>
      <c r="D80" s="80">
        <v>7.824311005030744</v>
      </c>
      <c r="E80" s="80">
        <v>1.8484603490492493</v>
      </c>
    </row>
    <row r="81" ht="15.75" customHeight="1">
      <c r="A81" s="79">
        <v>4.0</v>
      </c>
      <c r="B81" s="80">
        <v>56.51852726064125</v>
      </c>
      <c r="C81" s="80">
        <v>37.94868978618888</v>
      </c>
      <c r="D81" s="80">
        <v>3.809075082205167</v>
      </c>
      <c r="E81" s="80">
        <v>1.7237082156324328</v>
      </c>
    </row>
    <row r="82" ht="15.75" customHeight="1">
      <c r="A82" s="79" t="s">
        <v>171</v>
      </c>
      <c r="B82" s="80">
        <v>70.07291688251371</v>
      </c>
      <c r="C82" s="80">
        <v>21.319878962616407</v>
      </c>
      <c r="D82" s="80">
        <v>6.504398853208171</v>
      </c>
      <c r="E82" s="80">
        <v>2.1028037456072455</v>
      </c>
    </row>
    <row r="83" ht="15.75" customHeight="1">
      <c r="A83" s="81"/>
      <c r="B83" s="82"/>
      <c r="C83" s="82"/>
      <c r="D83" s="82"/>
      <c r="E83" s="82"/>
    </row>
    <row r="84" ht="15.75" customHeight="1">
      <c r="A84" s="81" t="s">
        <v>172</v>
      </c>
      <c r="B84" s="82">
        <v>39.39426356184596</v>
      </c>
      <c r="C84" s="82">
        <v>45.03298457929358</v>
      </c>
      <c r="D84" s="82">
        <v>12.266208380393893</v>
      </c>
      <c r="E84" s="82">
        <v>3.306543154765288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71"/>
    <col customWidth="1" min="3" max="3" width="12.43"/>
    <col customWidth="1" min="4" max="4" width="10.57"/>
    <col customWidth="1" min="5" max="5" width="9.57"/>
    <col customWidth="1" min="6" max="6" width="8.71"/>
    <col customWidth="1" min="7" max="7" width="10.71"/>
    <col customWidth="1" min="8" max="35" width="8.71"/>
  </cols>
  <sheetData>
    <row r="1">
      <c r="A1" s="1" t="s">
        <v>0</v>
      </c>
      <c r="B1" s="1"/>
      <c r="G1" s="2">
        <v>43883.0</v>
      </c>
    </row>
    <row r="2">
      <c r="A2" s="5" t="s">
        <v>207</v>
      </c>
      <c r="B2" s="5"/>
    </row>
    <row r="3">
      <c r="A3" s="11" t="s">
        <v>576</v>
      </c>
    </row>
    <row r="5">
      <c r="A5" s="11" t="s">
        <v>577</v>
      </c>
    </row>
    <row r="7">
      <c r="G7" s="24" t="s">
        <v>578</v>
      </c>
    </row>
    <row r="8">
      <c r="A8" s="62" t="s">
        <v>559</v>
      </c>
      <c r="B8" s="62" t="s">
        <v>560</v>
      </c>
      <c r="C8" s="62" t="s">
        <v>556</v>
      </c>
      <c r="D8" s="62"/>
    </row>
    <row r="9">
      <c r="A9" s="11" t="s">
        <v>98</v>
      </c>
      <c r="B9" s="11">
        <v>2002.0</v>
      </c>
      <c r="C9" s="74">
        <v>0.8109696114885863</v>
      </c>
      <c r="D9" s="74"/>
    </row>
    <row r="10">
      <c r="A10" s="11" t="s">
        <v>99</v>
      </c>
      <c r="B10" s="11">
        <v>2004.0</v>
      </c>
      <c r="C10" s="74">
        <v>0.8625125385552218</v>
      </c>
      <c r="D10" s="74"/>
    </row>
    <row r="11">
      <c r="A11" s="11" t="s">
        <v>100</v>
      </c>
      <c r="B11" s="11">
        <v>2006.0</v>
      </c>
      <c r="C11" s="74">
        <v>0.7930568092303729</v>
      </c>
      <c r="D11" s="74"/>
    </row>
    <row r="12">
      <c r="A12" s="11" t="s">
        <v>101</v>
      </c>
      <c r="B12" s="11">
        <v>2008.0</v>
      </c>
      <c r="C12" s="74">
        <v>0.7889407963747981</v>
      </c>
      <c r="D12" s="74"/>
    </row>
    <row r="13">
      <c r="A13" s="11" t="s">
        <v>102</v>
      </c>
      <c r="B13" s="11">
        <v>2010.0</v>
      </c>
      <c r="C13" s="74">
        <v>0.7709311918946216</v>
      </c>
      <c r="D13" s="74"/>
    </row>
    <row r="14">
      <c r="A14" s="11" t="s">
        <v>103</v>
      </c>
      <c r="B14" s="11">
        <v>2012.0</v>
      </c>
      <c r="C14" s="74">
        <v>0.7647626546514491</v>
      </c>
      <c r="D14" s="74"/>
    </row>
    <row r="15">
      <c r="A15" s="11" t="s">
        <v>104</v>
      </c>
      <c r="B15" s="11">
        <v>2014.0</v>
      </c>
      <c r="C15" s="74">
        <v>0.7364089239288515</v>
      </c>
      <c r="D15" s="74"/>
    </row>
    <row r="16">
      <c r="A16" s="11" t="s">
        <v>105</v>
      </c>
      <c r="B16" s="11">
        <v>2016.0</v>
      </c>
      <c r="C16" s="74">
        <v>0.7196187270513706</v>
      </c>
      <c r="D16" s="74"/>
    </row>
    <row r="17">
      <c r="A17" s="11" t="s">
        <v>106</v>
      </c>
      <c r="B17" s="11">
        <v>2018.0</v>
      </c>
      <c r="C17" s="74">
        <v>0.6781825929829529</v>
      </c>
      <c r="D17" s="7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11" t="s">
        <v>579</v>
      </c>
      <c r="B31" s="11">
        <v>1.0</v>
      </c>
      <c r="C31" s="11">
        <v>2.0</v>
      </c>
      <c r="D31" s="11">
        <v>3.0</v>
      </c>
      <c r="E31" s="11">
        <v>4.0</v>
      </c>
      <c r="F31" s="11">
        <v>5.0</v>
      </c>
      <c r="G31" s="11">
        <v>6.0</v>
      </c>
      <c r="H31" s="11">
        <v>7.0</v>
      </c>
      <c r="I31" s="11">
        <v>8.0</v>
      </c>
      <c r="J31" s="11">
        <v>9.0</v>
      </c>
      <c r="K31" s="11" t="s">
        <v>563</v>
      </c>
    </row>
    <row r="32" ht="15.75" customHeight="1">
      <c r="B32" s="12" t="s">
        <v>98</v>
      </c>
      <c r="C32" s="12" t="s">
        <v>99</v>
      </c>
      <c r="D32" s="12" t="s">
        <v>100</v>
      </c>
      <c r="E32" s="12" t="s">
        <v>101</v>
      </c>
      <c r="F32" s="12" t="s">
        <v>102</v>
      </c>
      <c r="G32" s="12" t="s">
        <v>103</v>
      </c>
      <c r="H32" s="12" t="s">
        <v>104</v>
      </c>
      <c r="I32" s="12" t="s">
        <v>105</v>
      </c>
      <c r="J32" s="12" t="s">
        <v>106</v>
      </c>
    </row>
    <row r="33" ht="15.75" customHeight="1">
      <c r="A33" s="11" t="s">
        <v>212</v>
      </c>
      <c r="B33" s="12">
        <v>81.09696114885863</v>
      </c>
      <c r="C33" s="12">
        <v>86.25125385552218</v>
      </c>
      <c r="D33" s="12">
        <v>79.30568092303729</v>
      </c>
      <c r="E33" s="12">
        <v>78.8940796374798</v>
      </c>
      <c r="F33" s="12">
        <v>77.09311918946216</v>
      </c>
      <c r="G33" s="12">
        <v>76.4762654651449</v>
      </c>
      <c r="H33" s="12">
        <v>73.64089239288515</v>
      </c>
      <c r="I33" s="12">
        <v>71.96187270513707</v>
      </c>
      <c r="J33" s="12">
        <v>67.81825929829529</v>
      </c>
      <c r="K33" s="12">
        <v>76.69679152156853</v>
      </c>
      <c r="N33" s="12"/>
      <c r="O33" s="74"/>
    </row>
    <row r="34" ht="15.75" customHeight="1">
      <c r="A34" s="11" t="s">
        <v>218</v>
      </c>
      <c r="B34" s="12">
        <v>18.903051868538576</v>
      </c>
      <c r="C34" s="12">
        <v>13.748748604056331</v>
      </c>
      <c r="D34" s="12">
        <v>20.694331377023794</v>
      </c>
      <c r="E34" s="12">
        <v>21.105919566693224</v>
      </c>
      <c r="F34" s="12">
        <v>22.90689368902753</v>
      </c>
      <c r="G34" s="12">
        <v>23.523723358328215</v>
      </c>
      <c r="H34" s="12">
        <v>26.359136121587532</v>
      </c>
      <c r="I34" s="12">
        <v>28.038128606954352</v>
      </c>
      <c r="J34" s="12">
        <v>32.18176153000338</v>
      </c>
      <c r="K34" s="12">
        <v>23.30321699368417</v>
      </c>
      <c r="N34" s="12"/>
      <c r="O34" s="74"/>
    </row>
    <row r="35" ht="15.75" customHeight="1">
      <c r="A35" s="11" t="s">
        <v>158</v>
      </c>
      <c r="B35" s="12">
        <v>0.24422531855476462</v>
      </c>
      <c r="C35" s="12">
        <v>0.09616848624258865</v>
      </c>
      <c r="D35" s="12">
        <v>0.6237147036745258</v>
      </c>
      <c r="E35" s="12">
        <v>0.21479586024587566</v>
      </c>
      <c r="F35" s="12">
        <v>0.22774140519933636</v>
      </c>
      <c r="G35" s="12">
        <v>0.5291847398601861</v>
      </c>
      <c r="H35" s="12">
        <v>1.2023969696187833</v>
      </c>
      <c r="I35" s="12">
        <v>0.42481678722596367</v>
      </c>
      <c r="J35" s="12">
        <v>0.7762223953178145</v>
      </c>
      <c r="K35" s="12">
        <v>0.48585549484822954</v>
      </c>
      <c r="N35" s="12"/>
      <c r="O35" s="74"/>
    </row>
    <row r="36" ht="15.75" customHeight="1">
      <c r="A36" s="11" t="s">
        <v>568</v>
      </c>
      <c r="B36" s="12">
        <v>0.13865772204640972</v>
      </c>
      <c r="C36" s="12">
        <v>0.026172192820648105</v>
      </c>
      <c r="D36" s="12">
        <v>0.8184321043237927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0.0885705510607639</v>
      </c>
      <c r="N36" s="12"/>
      <c r="O36" s="74"/>
    </row>
    <row r="37" ht="15.75" customHeight="1">
      <c r="B37" s="12"/>
      <c r="C37" s="12"/>
      <c r="D37" s="12"/>
      <c r="E37" s="12"/>
      <c r="F37" s="12"/>
      <c r="G37" s="12"/>
      <c r="H37" s="12"/>
      <c r="I37" s="12"/>
      <c r="J37" s="12"/>
      <c r="K37" s="12"/>
      <c r="N37" s="12"/>
      <c r="O37" s="74"/>
    </row>
    <row r="38" ht="15.75" customHeight="1">
      <c r="A38" s="11" t="s">
        <v>32</v>
      </c>
      <c r="B38" s="12">
        <v>100.38288304060117</v>
      </c>
      <c r="C38" s="12">
        <v>100.12234067906323</v>
      </c>
      <c r="D38" s="12">
        <v>101.44214680799833</v>
      </c>
      <c r="E38" s="12">
        <v>100.21479586024589</v>
      </c>
      <c r="F38" s="12">
        <v>100.22774140519934</v>
      </c>
      <c r="G38" s="12">
        <v>100.5291847398602</v>
      </c>
      <c r="H38" s="12">
        <v>101.20239696961879</v>
      </c>
      <c r="I38" s="12">
        <v>100.42481678722596</v>
      </c>
      <c r="J38" s="12">
        <v>100.7762223953178</v>
      </c>
      <c r="K38" s="12">
        <v>100.574426045909</v>
      </c>
      <c r="N38" s="12"/>
      <c r="O38" s="74"/>
    </row>
    <row r="39" ht="15.75" customHeight="1">
      <c r="N39" s="12"/>
      <c r="O39" s="74"/>
    </row>
    <row r="40" ht="15.75" customHeight="1">
      <c r="N40" s="12"/>
      <c r="O40" s="74"/>
    </row>
    <row r="41" ht="15.75" customHeight="1">
      <c r="N41" s="12"/>
      <c r="O41" s="7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>
      <c r="A72" s="8" t="s">
        <v>561</v>
      </c>
    </row>
    <row r="73" ht="15.75" customHeight="1">
      <c r="A73" s="11" t="s">
        <v>557</v>
      </c>
    </row>
    <row r="74" ht="15.75" customHeight="1"/>
    <row r="75" ht="15.75" customHeight="1">
      <c r="A75" s="11" t="s">
        <v>562</v>
      </c>
      <c r="B75" s="11">
        <v>1.0</v>
      </c>
      <c r="C75" s="11">
        <v>2.0</v>
      </c>
      <c r="D75" s="11">
        <v>3.0</v>
      </c>
      <c r="E75" s="11">
        <v>4.0</v>
      </c>
      <c r="F75" s="11">
        <v>5.0</v>
      </c>
      <c r="G75" s="11">
        <v>6.0</v>
      </c>
      <c r="H75" s="11">
        <v>7.0</v>
      </c>
      <c r="I75" s="11">
        <v>8.0</v>
      </c>
      <c r="J75" s="11">
        <v>9.0</v>
      </c>
      <c r="K75" s="11" t="s">
        <v>563</v>
      </c>
      <c r="M75" s="11" t="s">
        <v>562</v>
      </c>
      <c r="N75" s="11">
        <v>1.0</v>
      </c>
      <c r="O75" s="11">
        <v>2.0</v>
      </c>
      <c r="P75" s="11">
        <v>3.0</v>
      </c>
      <c r="Q75" s="11">
        <v>4.0</v>
      </c>
      <c r="R75" s="11">
        <v>5.0</v>
      </c>
      <c r="S75" s="11">
        <v>6.0</v>
      </c>
      <c r="T75" s="11">
        <v>7.0</v>
      </c>
      <c r="U75" s="11">
        <v>8.0</v>
      </c>
      <c r="V75" s="11">
        <v>9.0</v>
      </c>
      <c r="W75" s="11" t="s">
        <v>563</v>
      </c>
    </row>
    <row r="76" ht="15.75" customHeight="1">
      <c r="B76" s="12" t="s">
        <v>98</v>
      </c>
      <c r="C76" s="12" t="s">
        <v>99</v>
      </c>
      <c r="D76" s="12" t="s">
        <v>100</v>
      </c>
      <c r="E76" s="12" t="s">
        <v>101</v>
      </c>
      <c r="F76" s="12" t="s">
        <v>102</v>
      </c>
      <c r="G76" s="12" t="s">
        <v>103</v>
      </c>
      <c r="H76" s="12" t="s">
        <v>104</v>
      </c>
      <c r="I76" s="12" t="s">
        <v>105</v>
      </c>
      <c r="J76" s="12" t="s">
        <v>106</v>
      </c>
    </row>
    <row r="77" ht="15.75" customHeight="1">
      <c r="A77" s="11" t="s">
        <v>564</v>
      </c>
      <c r="B77" s="12">
        <v>103.815307</v>
      </c>
      <c r="C77" s="12">
        <v>38.895137</v>
      </c>
      <c r="D77" s="12">
        <v>30.104805</v>
      </c>
      <c r="E77" s="12">
        <v>290.62154</v>
      </c>
      <c r="F77" s="12">
        <v>433.12988</v>
      </c>
      <c r="G77" s="12">
        <v>526.0874</v>
      </c>
      <c r="H77" s="12">
        <v>166.09852</v>
      </c>
      <c r="I77" s="12">
        <v>88.580247</v>
      </c>
      <c r="J77" s="12">
        <v>69.047134</v>
      </c>
      <c r="K77" s="12">
        <v>1746.3799700000002</v>
      </c>
      <c r="M77" s="11" t="s">
        <v>525</v>
      </c>
      <c r="N77" s="12">
        <v>5.25724638941059</v>
      </c>
      <c r="O77" s="12">
        <v>1.7498982406826473</v>
      </c>
      <c r="P77" s="12">
        <v>1.7040983393589288</v>
      </c>
      <c r="Q77" s="12">
        <v>16.578415706309272</v>
      </c>
      <c r="R77" s="12">
        <v>16.923444963902405</v>
      </c>
      <c r="S77" s="12">
        <v>20.18072135693452</v>
      </c>
      <c r="T77" s="12">
        <v>7.022719760827424</v>
      </c>
      <c r="U77" s="12">
        <v>3.240989144772529</v>
      </c>
      <c r="V77" s="12">
        <v>3.1545909111903327</v>
      </c>
      <c r="W77" s="12">
        <v>8.658160113032993</v>
      </c>
      <c r="Z77" s="12" t="s">
        <v>98</v>
      </c>
      <c r="AA77" s="12" t="s">
        <v>99</v>
      </c>
      <c r="AB77" s="12" t="s">
        <v>100</v>
      </c>
      <c r="AC77" s="12" t="s">
        <v>101</v>
      </c>
      <c r="AD77" s="12" t="s">
        <v>102</v>
      </c>
      <c r="AE77" s="12" t="s">
        <v>103</v>
      </c>
      <c r="AF77" s="12" t="s">
        <v>104</v>
      </c>
      <c r="AG77" s="12" t="s">
        <v>105</v>
      </c>
      <c r="AH77" s="12" t="s">
        <v>106</v>
      </c>
      <c r="AI77" s="12"/>
    </row>
    <row r="78" ht="15.75" customHeight="1">
      <c r="A78" s="11">
        <v>1.0</v>
      </c>
      <c r="B78" s="12">
        <v>112.20485</v>
      </c>
      <c r="C78" s="12">
        <v>32.574467</v>
      </c>
      <c r="D78" s="12">
        <v>16.766862</v>
      </c>
      <c r="E78" s="12">
        <v>246.18101</v>
      </c>
      <c r="F78" s="12">
        <v>427.41849</v>
      </c>
      <c r="G78" s="12">
        <v>228.18367</v>
      </c>
      <c r="H78" s="12">
        <v>109.06541</v>
      </c>
      <c r="I78" s="12">
        <v>43.924227</v>
      </c>
      <c r="J78" s="12">
        <v>56.280243</v>
      </c>
      <c r="K78" s="12">
        <v>1272.599229</v>
      </c>
      <c r="M78" s="11">
        <v>1.0</v>
      </c>
      <c r="N78" s="12">
        <v>5.682096018238012</v>
      </c>
      <c r="O78" s="12">
        <v>1.4655303179540144</v>
      </c>
      <c r="P78" s="12">
        <v>0.9490970524625664</v>
      </c>
      <c r="Q78" s="12">
        <v>14.04331944142571</v>
      </c>
      <c r="R78" s="12">
        <v>16.700286971818407</v>
      </c>
      <c r="S78" s="12">
        <v>8.753129351648983</v>
      </c>
      <c r="T78" s="12">
        <v>4.611334345602507</v>
      </c>
      <c r="U78" s="12">
        <v>1.6071070890051191</v>
      </c>
      <c r="V78" s="12">
        <v>2.5713035829609283</v>
      </c>
      <c r="W78" s="12">
        <v>6.309261485863433</v>
      </c>
      <c r="Y78" s="17" t="s">
        <v>565</v>
      </c>
      <c r="Z78" s="12">
        <v>34.177666934032004</v>
      </c>
      <c r="AA78" s="12">
        <v>71.59784233616227</v>
      </c>
      <c r="AB78" s="12">
        <v>67.61375015865914</v>
      </c>
      <c r="AC78" s="12">
        <v>9.03354788308883</v>
      </c>
      <c r="AD78" s="12">
        <v>8.031218480841819</v>
      </c>
      <c r="AE78" s="12">
        <v>12.10749657274542</v>
      </c>
      <c r="AF78" s="12">
        <v>30.598446134614075</v>
      </c>
      <c r="AG78" s="12">
        <v>48.38287325890697</v>
      </c>
      <c r="AH78" s="12">
        <v>53.82876483936956</v>
      </c>
      <c r="AI78" s="12">
        <v>36.51197418816885</v>
      </c>
    </row>
    <row r="79" ht="15.75" customHeight="1">
      <c r="A79" s="11">
        <v>2.0</v>
      </c>
      <c r="B79" s="12">
        <v>162.85291</v>
      </c>
      <c r="C79" s="12">
        <v>37.127051</v>
      </c>
      <c r="D79" s="12">
        <v>46.398572</v>
      </c>
      <c r="E79" s="12">
        <v>355.6897</v>
      </c>
      <c r="F79" s="12">
        <v>539.08397</v>
      </c>
      <c r="G79" s="12">
        <v>453.799085</v>
      </c>
      <c r="H79" s="12">
        <v>237.882642</v>
      </c>
      <c r="I79" s="12">
        <v>173.67984</v>
      </c>
      <c r="J79" s="12">
        <v>87.649559</v>
      </c>
      <c r="K79" s="12">
        <v>2094.1633290000004</v>
      </c>
      <c r="M79" s="11">
        <v>2.0</v>
      </c>
      <c r="N79" s="12">
        <v>8.24693292196793</v>
      </c>
      <c r="O79" s="12">
        <v>1.670351777566304</v>
      </c>
      <c r="P79" s="12">
        <v>2.626415600228127</v>
      </c>
      <c r="Q79" s="12">
        <v>20.290208733504176</v>
      </c>
      <c r="R79" s="12">
        <v>21.063330697057925</v>
      </c>
      <c r="S79" s="12">
        <v>17.40774039906077</v>
      </c>
      <c r="T79" s="12">
        <v>10.057784565035472</v>
      </c>
      <c r="U79" s="12">
        <v>6.354627528932378</v>
      </c>
      <c r="V79" s="12">
        <v>4.00448919706415</v>
      </c>
      <c r="W79" s="12">
        <v>10.382391986163348</v>
      </c>
      <c r="Y79" s="17" t="s">
        <v>566</v>
      </c>
      <c r="Z79" s="12">
        <v>45.62681230648569</v>
      </c>
      <c r="AA79" s="12">
        <v>13.799508325235525</v>
      </c>
      <c r="AB79" s="12">
        <v>18.33294636974589</v>
      </c>
      <c r="AC79" s="12">
        <v>82.47681657542468</v>
      </c>
      <c r="AD79" s="12">
        <v>85.0453537510404</v>
      </c>
      <c r="AE79" s="12">
        <v>77.60692602772485</v>
      </c>
      <c r="AF79" s="12">
        <v>50.11229591734812</v>
      </c>
      <c r="AG79" s="12">
        <v>32.90641856429512</v>
      </c>
      <c r="AH79" s="12">
        <v>30.19543112156069</v>
      </c>
      <c r="AI79" s="12">
        <v>49.19436090970939</v>
      </c>
    </row>
    <row r="80" ht="15.75" customHeight="1">
      <c r="A80" s="11">
        <v>3.0</v>
      </c>
      <c r="B80" s="12">
        <v>240.94123</v>
      </c>
      <c r="C80" s="12">
        <v>62.88476</v>
      </c>
      <c r="D80" s="12">
        <v>81.3269334</v>
      </c>
      <c r="E80" s="12">
        <v>335.02966</v>
      </c>
      <c r="F80" s="12">
        <v>471.01949</v>
      </c>
      <c r="G80" s="12">
        <v>438.08038</v>
      </c>
      <c r="H80" s="12">
        <v>329.65005</v>
      </c>
      <c r="I80" s="12">
        <v>265.25194</v>
      </c>
      <c r="J80" s="12">
        <v>203.439238</v>
      </c>
      <c r="K80" s="12">
        <v>2427.6236813999994</v>
      </c>
      <c r="M80" s="11">
        <v>3.0</v>
      </c>
      <c r="N80" s="12">
        <v>12.201354964712925</v>
      </c>
      <c r="O80" s="12">
        <v>2.8291950967996464</v>
      </c>
      <c r="P80" s="12">
        <v>4.6035538895566415</v>
      </c>
      <c r="Q80" s="12">
        <v>19.111663152784395</v>
      </c>
      <c r="R80" s="12">
        <v>18.403884802268497</v>
      </c>
      <c r="S80" s="12">
        <v>16.804770615528884</v>
      </c>
      <c r="T80" s="12">
        <v>13.937751644582677</v>
      </c>
      <c r="U80" s="12">
        <v>9.705083100184336</v>
      </c>
      <c r="V80" s="12">
        <v>9.294630117077517</v>
      </c>
      <c r="W80" s="12">
        <v>12.03561360575602</v>
      </c>
      <c r="Y80" s="17" t="s">
        <v>567</v>
      </c>
      <c r="Z80" s="12">
        <v>20.195522516703416</v>
      </c>
      <c r="AA80" s="12">
        <v>14.6026530008008</v>
      </c>
      <c r="AB80" s="12">
        <v>14.053313700213629</v>
      </c>
      <c r="AC80" s="12">
        <v>8.489649317779154</v>
      </c>
      <c r="AD80" s="12">
        <v>6.9234405721591825</v>
      </c>
      <c r="AE80" s="12">
        <v>10.285559190029877</v>
      </c>
      <c r="AF80" s="12">
        <v>19.289278496335324</v>
      </c>
      <c r="AG80" s="12">
        <v>18.710712347849295</v>
      </c>
      <c r="AH80" s="12">
        <v>15.975804313194745</v>
      </c>
      <c r="AI80" s="12">
        <v>14.29366984651145</v>
      </c>
    </row>
    <row r="81" ht="15.75" customHeight="1">
      <c r="A81" s="11">
        <v>4.0</v>
      </c>
      <c r="B81" s="12">
        <v>281.18238</v>
      </c>
      <c r="C81" s="12">
        <v>135.24143</v>
      </c>
      <c r="D81" s="12">
        <v>149.27485</v>
      </c>
      <c r="E81" s="12">
        <v>218.3062</v>
      </c>
      <c r="F81" s="12">
        <v>305.95488</v>
      </c>
      <c r="G81" s="12">
        <v>376.96971</v>
      </c>
      <c r="H81" s="12">
        <v>342.53908</v>
      </c>
      <c r="I81" s="12">
        <v>327.936917</v>
      </c>
      <c r="J81" s="12">
        <v>244.49614</v>
      </c>
      <c r="K81" s="12">
        <v>2381.9015870000003</v>
      </c>
      <c r="M81" s="11">
        <v>4.0</v>
      </c>
      <c r="N81" s="12">
        <v>14.239182012156228</v>
      </c>
      <c r="O81" s="12">
        <v>6.084532892232913</v>
      </c>
      <c r="P81" s="12">
        <v>8.449781488139624</v>
      </c>
      <c r="Q81" s="12">
        <v>12.45320954140114</v>
      </c>
      <c r="R81" s="12">
        <v>11.954406315993172</v>
      </c>
      <c r="S81" s="12">
        <v>14.460564304551703</v>
      </c>
      <c r="T81" s="12">
        <v>14.482705601300037</v>
      </c>
      <c r="U81" s="12">
        <v>11.998611701400762</v>
      </c>
      <c r="V81" s="12">
        <v>11.170417313267762</v>
      </c>
      <c r="W81" s="12">
        <v>11.808933718893595</v>
      </c>
    </row>
    <row r="82" ht="15.75" customHeight="1">
      <c r="A82" s="11">
        <v>5.0</v>
      </c>
      <c r="B82" s="12">
        <v>398.80276</v>
      </c>
      <c r="C82" s="12">
        <v>324.57441</v>
      </c>
      <c r="D82" s="12">
        <v>248.26752</v>
      </c>
      <c r="E82" s="12">
        <v>148.824532</v>
      </c>
      <c r="F82" s="12">
        <v>177.19495</v>
      </c>
      <c r="G82" s="12">
        <v>268.132293</v>
      </c>
      <c r="H82" s="12">
        <v>456.222193</v>
      </c>
      <c r="I82" s="12">
        <v>511.38694</v>
      </c>
      <c r="J82" s="12">
        <v>349.67561</v>
      </c>
      <c r="K82" s="12">
        <v>2883.0812079999996</v>
      </c>
      <c r="M82" s="11">
        <v>5.0</v>
      </c>
      <c r="N82" s="12">
        <v>20.195522516703416</v>
      </c>
      <c r="O82" s="12">
        <v>14.6026530008008</v>
      </c>
      <c r="P82" s="12">
        <v>14.053313700213629</v>
      </c>
      <c r="Q82" s="12">
        <v>8.489649317779154</v>
      </c>
      <c r="R82" s="12">
        <v>6.9234405721591825</v>
      </c>
      <c r="S82" s="12">
        <v>10.285559190029877</v>
      </c>
      <c r="T82" s="12">
        <v>19.289278496335324</v>
      </c>
      <c r="U82" s="12">
        <v>18.710712347849295</v>
      </c>
      <c r="V82" s="12">
        <v>15.975804313194745</v>
      </c>
      <c r="W82" s="12">
        <v>14.29366984651145</v>
      </c>
    </row>
    <row r="83" ht="15.75" customHeight="1">
      <c r="A83" s="11">
        <v>6.0</v>
      </c>
      <c r="B83" s="12">
        <v>266.46913</v>
      </c>
      <c r="C83" s="12">
        <v>299.38668</v>
      </c>
      <c r="D83" s="12">
        <v>233.6005</v>
      </c>
      <c r="E83" s="12">
        <v>76.577186</v>
      </c>
      <c r="F83" s="12">
        <v>103.74022</v>
      </c>
      <c r="G83" s="12">
        <v>172.47495</v>
      </c>
      <c r="H83" s="12">
        <v>328.66094</v>
      </c>
      <c r="I83" s="12">
        <v>598.40357</v>
      </c>
      <c r="J83" s="12">
        <v>385.196743</v>
      </c>
      <c r="K83" s="12">
        <v>2464.5099189999996</v>
      </c>
      <c r="M83" s="11">
        <v>6.0</v>
      </c>
      <c r="N83" s="12">
        <v>13.494097470442206</v>
      </c>
      <c r="O83" s="12">
        <v>13.469453125099385</v>
      </c>
      <c r="P83" s="12">
        <v>13.223079309878127</v>
      </c>
      <c r="Q83" s="12">
        <v>4.368321849534507</v>
      </c>
      <c r="R83" s="12">
        <v>4.053384411422106</v>
      </c>
      <c r="S83" s="12">
        <v>6.616141931932248</v>
      </c>
      <c r="T83" s="12">
        <v>13.895931631119387</v>
      </c>
      <c r="U83" s="12">
        <v>21.89449160785393</v>
      </c>
      <c r="V83" s="12">
        <v>17.598676065076337</v>
      </c>
      <c r="W83" s="12">
        <v>12.218487296816607</v>
      </c>
    </row>
    <row r="84" ht="15.75" customHeight="1">
      <c r="A84" s="11">
        <v>7.0</v>
      </c>
      <c r="B84" s="12">
        <v>235.31164</v>
      </c>
      <c r="C84" s="12">
        <v>453.93256</v>
      </c>
      <c r="D84" s="12">
        <v>355.50436</v>
      </c>
      <c r="E84" s="12">
        <v>43.821419</v>
      </c>
      <c r="F84" s="12">
        <v>57.134822</v>
      </c>
      <c r="G84" s="12">
        <v>84.902835</v>
      </c>
      <c r="H84" s="12">
        <v>229.97081</v>
      </c>
      <c r="I84" s="12">
        <v>475.5096</v>
      </c>
      <c r="J84" s="12">
        <v>393.03907</v>
      </c>
      <c r="K84" s="12">
        <v>2329.127116</v>
      </c>
      <c r="M84" s="11">
        <v>7.0</v>
      </c>
      <c r="N84" s="12">
        <v>11.91627039908753</v>
      </c>
      <c r="O84" s="12">
        <v>20.422496214181486</v>
      </c>
      <c r="P84" s="12">
        <v>20.123511496283033</v>
      </c>
      <c r="Q84" s="12">
        <v>2.4997792697071235</v>
      </c>
      <c r="R84" s="12">
        <v>2.232397394609119</v>
      </c>
      <c r="S84" s="12">
        <v>3.2568741535128716</v>
      </c>
      <c r="T84" s="12">
        <v>9.723268767238196</v>
      </c>
      <c r="U84" s="12">
        <v>17.398026129178973</v>
      </c>
      <c r="V84" s="12">
        <v>17.956972377227142</v>
      </c>
      <c r="W84" s="12">
        <v>11.547289730959733</v>
      </c>
    </row>
    <row r="85" ht="15.75" customHeight="1">
      <c r="A85" s="11">
        <v>8.0</v>
      </c>
      <c r="B85" s="12">
        <v>121.72142</v>
      </c>
      <c r="C85" s="12">
        <v>515.17164</v>
      </c>
      <c r="D85" s="12">
        <v>367.00949</v>
      </c>
      <c r="E85" s="12">
        <v>18.494841</v>
      </c>
      <c r="F85" s="12">
        <v>28.83911</v>
      </c>
      <c r="G85" s="12">
        <v>35.227951</v>
      </c>
      <c r="H85" s="12">
        <v>115.3629</v>
      </c>
      <c r="I85" s="12">
        <v>200.47806</v>
      </c>
      <c r="J85" s="12">
        <v>311.38659</v>
      </c>
      <c r="K85" s="12">
        <v>1713.692002</v>
      </c>
      <c r="M85" s="11">
        <v>8.0</v>
      </c>
      <c r="N85" s="12">
        <v>6.1640187203697225</v>
      </c>
      <c r="O85" s="12">
        <v>23.17765191277239</v>
      </c>
      <c r="P85" s="12">
        <v>20.774765438207208</v>
      </c>
      <c r="Q85" s="12">
        <v>1.0550324746062962</v>
      </c>
      <c r="R85" s="12">
        <v>1.126814642510758</v>
      </c>
      <c r="S85" s="12">
        <v>1.351344782457711</v>
      </c>
      <c r="T85" s="12">
        <v>4.877595041162064</v>
      </c>
      <c r="U85" s="12">
        <v>7.335125360680647</v>
      </c>
      <c r="V85" s="12">
        <v>14.226474724940076</v>
      </c>
      <c r="W85" s="12">
        <v>8.496100500820594</v>
      </c>
    </row>
    <row r="86" ht="15.75" customHeight="1">
      <c r="A86" s="11">
        <v>9.0</v>
      </c>
      <c r="B86" s="12">
        <v>31.778011</v>
      </c>
      <c r="C86" s="12">
        <v>221.66812</v>
      </c>
      <c r="D86" s="12">
        <v>149.38657</v>
      </c>
      <c r="E86" s="12">
        <v>13.650655</v>
      </c>
      <c r="F86" s="12">
        <v>7.6084979</v>
      </c>
      <c r="G86" s="12">
        <v>13.461569</v>
      </c>
      <c r="H86" s="12">
        <v>32.099375</v>
      </c>
      <c r="I86" s="12">
        <v>30.353871</v>
      </c>
      <c r="J86" s="12">
        <v>58.125496</v>
      </c>
      <c r="K86" s="12">
        <v>558.1321648999999</v>
      </c>
      <c r="M86" s="11">
        <v>9.0</v>
      </c>
      <c r="N86" s="12">
        <v>1.609250489356064</v>
      </c>
      <c r="O86" s="12">
        <v>9.972883067706636</v>
      </c>
      <c r="P86" s="12">
        <v>8.4561054575682</v>
      </c>
      <c r="Q86" s="12">
        <v>0.7786973851057607</v>
      </c>
      <c r="R86" s="12">
        <v>0.29728264295369555</v>
      </c>
      <c r="S86" s="12">
        <v>0.5163860092755457</v>
      </c>
      <c r="T86" s="12">
        <v>1.357175940656845</v>
      </c>
      <c r="U86" s="12">
        <v>1.1105925953539697</v>
      </c>
      <c r="V86" s="12">
        <v>2.655608578772148</v>
      </c>
      <c r="W86" s="12">
        <v>2.7670940636921824</v>
      </c>
    </row>
    <row r="87" ht="15.75" customHeight="1">
      <c r="A87" s="11" t="s">
        <v>526</v>
      </c>
      <c r="B87" s="12">
        <v>19.629195</v>
      </c>
      <c r="C87" s="12">
        <v>101.25233</v>
      </c>
      <c r="D87" s="12">
        <v>88.971674</v>
      </c>
      <c r="E87" s="12">
        <v>5.8150356</v>
      </c>
      <c r="F87" s="12">
        <v>8.2241938</v>
      </c>
      <c r="G87" s="12">
        <v>9.5607283</v>
      </c>
      <c r="H87" s="12">
        <v>17.608015</v>
      </c>
      <c r="I87" s="12">
        <v>17.618743</v>
      </c>
      <c r="J87" s="12">
        <v>30.446689</v>
      </c>
      <c r="K87" s="12">
        <v>299.1266037</v>
      </c>
      <c r="M87" s="11" t="s">
        <v>526</v>
      </c>
      <c r="N87" s="12">
        <v>0.9940298547764869</v>
      </c>
      <c r="O87" s="12">
        <v>4.55535801640238</v>
      </c>
      <c r="P87" s="12">
        <v>5.0362884567225725</v>
      </c>
      <c r="Q87" s="12">
        <v>0.33171690413514276</v>
      </c>
      <c r="R87" s="12">
        <v>0.3213393893461411</v>
      </c>
      <c r="S87" s="12">
        <v>0.36674969556704506</v>
      </c>
      <c r="T87" s="12">
        <v>0.7444747544375815</v>
      </c>
      <c r="U87" s="12">
        <v>0.6446375658394471</v>
      </c>
      <c r="V87" s="12">
        <v>1.391033093353863</v>
      </c>
      <c r="W87" s="12">
        <v>1.483002595879731</v>
      </c>
    </row>
    <row r="88" ht="15.75" customHeight="1">
      <c r="A88" s="11" t="s">
        <v>158</v>
      </c>
      <c r="B88" s="12">
        <v>47.035683</v>
      </c>
      <c r="C88" s="12">
        <v>45.042522</v>
      </c>
      <c r="D88" s="12">
        <v>36.837933</v>
      </c>
      <c r="E88" s="12">
        <v>9.9434629</v>
      </c>
      <c r="F88" s="12">
        <v>15.125824</v>
      </c>
      <c r="G88" s="12">
        <v>19.562954</v>
      </c>
      <c r="H88" s="12">
        <v>23.424551</v>
      </c>
      <c r="I88" s="12">
        <v>22.243159</v>
      </c>
      <c r="J88" s="12">
        <v>27.217494</v>
      </c>
      <c r="K88" s="12">
        <v>246.43358289999995</v>
      </c>
      <c r="M88" s="11" t="s">
        <v>158</v>
      </c>
      <c r="N88" s="12">
        <v>2.381904766945505</v>
      </c>
      <c r="O88" s="12">
        <v>2.0264700444096504</v>
      </c>
      <c r="P88" s="12">
        <v>2.085230595272598</v>
      </c>
      <c r="Q88" s="12">
        <v>0.5672217603570043</v>
      </c>
      <c r="R88" s="12">
        <v>0.591002980440126</v>
      </c>
      <c r="S88" s="12">
        <v>0.7504352386932811</v>
      </c>
      <c r="T88" s="12">
        <v>0.9904004996324458</v>
      </c>
      <c r="U88" s="12">
        <v>0.8138364850625149</v>
      </c>
      <c r="V88" s="12">
        <v>1.2434992478873548</v>
      </c>
      <c r="W88" s="12">
        <v>1.2217624197651493</v>
      </c>
    </row>
    <row r="89" ht="15.75" customHeight="1">
      <c r="A89" s="11" t="s">
        <v>568</v>
      </c>
      <c r="B89" s="12">
        <v>23.3295187</v>
      </c>
      <c r="C89" s="12">
        <v>16.8949744</v>
      </c>
      <c r="D89" s="12">
        <v>6.0051113</v>
      </c>
      <c r="E89" s="12">
        <v>0.0</v>
      </c>
      <c r="F89" s="12">
        <v>0.0</v>
      </c>
      <c r="G89" s="12">
        <v>0.0</v>
      </c>
      <c r="H89" s="12">
        <v>0.0</v>
      </c>
      <c r="I89" s="12">
        <v>0.0</v>
      </c>
      <c r="J89" s="12"/>
      <c r="K89" s="12">
        <v>46.22960440000001</v>
      </c>
      <c r="M89" s="11" t="s">
        <v>568</v>
      </c>
      <c r="N89" s="12">
        <v>1.1814156456933835</v>
      </c>
      <c r="O89" s="12">
        <v>0.7601075162413842</v>
      </c>
      <c r="P89" s="12">
        <v>0.3399224872572847</v>
      </c>
      <c r="Q89" s="12">
        <v>0.0</v>
      </c>
      <c r="R89" s="12">
        <v>0.0</v>
      </c>
      <c r="S89" s="12">
        <v>0.0</v>
      </c>
      <c r="T89" s="12">
        <v>0.0</v>
      </c>
      <c r="U89" s="12">
        <v>0.0</v>
      </c>
      <c r="V89" s="12">
        <v>0.0</v>
      </c>
      <c r="W89" s="12">
        <v>0.2291960075889868</v>
      </c>
    </row>
    <row r="90" ht="15.75" customHeight="1">
      <c r="B90" s="12"/>
      <c r="C90" s="12"/>
      <c r="D90" s="12"/>
      <c r="E90" s="12"/>
      <c r="F90" s="12"/>
      <c r="G90" s="12"/>
      <c r="H90" s="12"/>
      <c r="I90" s="12"/>
      <c r="J90" s="12"/>
      <c r="K90" s="12">
        <v>0.0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ht="15.75" customHeight="1">
      <c r="A91" s="11" t="s">
        <v>32</v>
      </c>
      <c r="B91" s="12">
        <v>2045.074</v>
      </c>
      <c r="C91" s="12">
        <v>2284.646</v>
      </c>
      <c r="D91" s="12">
        <v>1809.455</v>
      </c>
      <c r="E91" s="12">
        <v>1762.955</v>
      </c>
      <c r="F91" s="12">
        <v>2574.474</v>
      </c>
      <c r="G91" s="12">
        <v>2626.444</v>
      </c>
      <c r="H91" s="12">
        <v>2388.584</v>
      </c>
      <c r="I91" s="12">
        <v>2755.367</v>
      </c>
      <c r="J91" s="12">
        <v>2216.0</v>
      </c>
      <c r="K91" s="12">
        <v>20462.998999999996</v>
      </c>
      <c r="M91" s="11" t="s">
        <v>32</v>
      </c>
      <c r="N91" s="12">
        <v>103.56332041263887</v>
      </c>
      <c r="O91" s="12">
        <v>102.78657756065103</v>
      </c>
      <c r="P91" s="12">
        <v>102.42515308252989</v>
      </c>
      <c r="Q91" s="12">
        <v>100.56722176035701</v>
      </c>
      <c r="R91" s="12">
        <v>100.59100298044014</v>
      </c>
      <c r="S91" s="12">
        <v>100.75043523869329</v>
      </c>
      <c r="T91" s="12">
        <v>100.99040049963246</v>
      </c>
      <c r="U91" s="12">
        <v>100.81383648506251</v>
      </c>
      <c r="V91" s="12">
        <v>101.24349924788736</v>
      </c>
      <c r="W91" s="12">
        <v>101.45095842735414</v>
      </c>
    </row>
    <row r="92" ht="15.75" customHeight="1"/>
    <row r="93" ht="15.75" customHeight="1"/>
    <row r="94" ht="15.75" customHeight="1">
      <c r="F94" s="24" t="s">
        <v>569</v>
      </c>
    </row>
    <row r="95" ht="15.75" customHeight="1"/>
    <row r="96" ht="15.75" customHeight="1">
      <c r="A96" s="8" t="s">
        <v>570</v>
      </c>
    </row>
    <row r="97" ht="15.75" customHeight="1">
      <c r="A97" s="11" t="s">
        <v>557</v>
      </c>
    </row>
    <row r="98" ht="15.75" customHeight="1"/>
    <row r="99" ht="15.75" customHeight="1">
      <c r="A99" s="75" t="s">
        <v>84</v>
      </c>
      <c r="B99" s="76">
        <v>53.39805727941383</v>
      </c>
    </row>
    <row r="100" ht="15.75" customHeight="1">
      <c r="A100" s="75" t="s">
        <v>76</v>
      </c>
      <c r="B100" s="76">
        <v>55.00878680398427</v>
      </c>
    </row>
    <row r="101" ht="15.75" customHeight="1">
      <c r="A101" s="75" t="s">
        <v>77</v>
      </c>
      <c r="B101" s="76">
        <v>55.22914243551151</v>
      </c>
    </row>
    <row r="102" ht="15.75" customHeight="1">
      <c r="A102" s="75" t="s">
        <v>166</v>
      </c>
      <c r="B102" s="76">
        <v>51.84782551143415</v>
      </c>
    </row>
    <row r="103" ht="15.75" customHeight="1">
      <c r="A103" s="75" t="s">
        <v>79</v>
      </c>
      <c r="B103" s="76">
        <v>49.269588418127306</v>
      </c>
    </row>
    <row r="104" ht="15.75" customHeight="1">
      <c r="A104" s="75" t="s">
        <v>167</v>
      </c>
      <c r="B104" s="76">
        <v>53.35845901739187</v>
      </c>
    </row>
    <row r="105" ht="15.75" customHeight="1">
      <c r="A105" s="75" t="s">
        <v>571</v>
      </c>
      <c r="B105" s="76">
        <v>59.09090836870786</v>
      </c>
    </row>
    <row r="106" ht="15.75" customHeight="1">
      <c r="A106" s="75"/>
      <c r="B106" s="76"/>
    </row>
    <row r="107" ht="15.75" customHeight="1">
      <c r="A107" s="75" t="s">
        <v>172</v>
      </c>
      <c r="B107" s="76">
        <v>53.82</v>
      </c>
    </row>
    <row r="108" ht="15.75" customHeight="1"/>
    <row r="109" ht="15.75" customHeight="1"/>
    <row r="110" ht="15.75" customHeight="1"/>
    <row r="111" ht="15.75" customHeight="1"/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/>
    <row r="117" ht="15.75" customHeight="1"/>
    <row r="118" ht="15.75" customHeight="1">
      <c r="A118" s="8" t="s">
        <v>572</v>
      </c>
      <c r="B118" s="8"/>
    </row>
    <row r="119" ht="15.75" customHeight="1">
      <c r="A119" s="11" t="s">
        <v>573</v>
      </c>
    </row>
    <row r="120" ht="15.75" customHeight="1"/>
    <row r="121" ht="15.75" customHeight="1">
      <c r="A121" s="77" t="s">
        <v>574</v>
      </c>
      <c r="B121" s="78" t="s">
        <v>174</v>
      </c>
      <c r="C121" s="78" t="s">
        <v>176</v>
      </c>
      <c r="D121" s="78" t="s">
        <v>177</v>
      </c>
      <c r="E121" s="78" t="s">
        <v>179</v>
      </c>
    </row>
    <row r="122" ht="15.75" customHeight="1">
      <c r="A122" s="79" t="s">
        <v>170</v>
      </c>
      <c r="B122" s="80">
        <v>14.417453748983728</v>
      </c>
      <c r="C122" s="80">
        <v>49.0384612046897</v>
      </c>
      <c r="D122" s="80">
        <v>26.677269820041616</v>
      </c>
      <c r="E122" s="80">
        <v>9.866814402157232</v>
      </c>
      <c r="J122" s="24" t="s">
        <v>575</v>
      </c>
    </row>
    <row r="123" ht="15.75" customHeight="1">
      <c r="A123" s="79">
        <v>2.0</v>
      </c>
      <c r="B123" s="80">
        <v>29.89048625546038</v>
      </c>
      <c r="C123" s="80">
        <v>50.94648455093797</v>
      </c>
      <c r="D123" s="80">
        <v>16.263360052041605</v>
      </c>
      <c r="E123" s="80">
        <v>2.8996688048825385</v>
      </c>
    </row>
    <row r="124" ht="15.75" customHeight="1">
      <c r="A124" s="79">
        <v>3.0</v>
      </c>
      <c r="B124" s="80">
        <v>41.429660804022724</v>
      </c>
      <c r="C124" s="80">
        <v>48.89756680425468</v>
      </c>
      <c r="D124" s="80">
        <v>7.824311005030744</v>
      </c>
      <c r="E124" s="80">
        <v>1.8484603490492493</v>
      </c>
    </row>
    <row r="125" ht="15.75" customHeight="1">
      <c r="A125" s="79">
        <v>4.0</v>
      </c>
      <c r="B125" s="80">
        <v>56.51852726064125</v>
      </c>
      <c r="C125" s="80">
        <v>37.94868978618888</v>
      </c>
      <c r="D125" s="80">
        <v>3.809075082205167</v>
      </c>
      <c r="E125" s="80">
        <v>1.7237082156324328</v>
      </c>
    </row>
    <row r="126" ht="15.75" customHeight="1">
      <c r="A126" s="79" t="s">
        <v>171</v>
      </c>
      <c r="B126" s="80">
        <v>70.07291688251371</v>
      </c>
      <c r="C126" s="80">
        <v>21.319878962616407</v>
      </c>
      <c r="D126" s="80">
        <v>6.504398853208171</v>
      </c>
      <c r="E126" s="80">
        <v>2.1028037456072455</v>
      </c>
    </row>
    <row r="127" ht="15.75" customHeight="1">
      <c r="A127" s="81"/>
      <c r="B127" s="82"/>
      <c r="C127" s="82"/>
      <c r="D127" s="82"/>
      <c r="E127" s="82"/>
    </row>
    <row r="128" ht="15.75" customHeight="1">
      <c r="A128" s="81" t="s">
        <v>172</v>
      </c>
      <c r="B128" s="82">
        <v>39.39426356184596</v>
      </c>
      <c r="C128" s="82">
        <v>45.03298457929358</v>
      </c>
      <c r="D128" s="82">
        <v>12.266208380393893</v>
      </c>
      <c r="E128" s="82">
        <v>3.306543154765288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6" width="8.71"/>
    <col customWidth="1" min="7" max="7" width="10.86"/>
    <col customWidth="1" min="8" max="14" width="8.71"/>
    <col customWidth="1" min="15" max="15" width="12.57"/>
    <col customWidth="1" min="16" max="17" width="8.71"/>
    <col customWidth="1" min="18" max="18" width="9.71"/>
    <col customWidth="1" min="19" max="19" width="13.86"/>
    <col customWidth="1" min="20" max="26" width="8.71"/>
  </cols>
  <sheetData>
    <row r="1">
      <c r="A1" s="1" t="s">
        <v>0</v>
      </c>
      <c r="B1" s="1"/>
      <c r="G1" s="2">
        <v>43883.0</v>
      </c>
    </row>
    <row r="2">
      <c r="A2" s="5" t="s">
        <v>580</v>
      </c>
      <c r="B2" s="5"/>
    </row>
    <row r="3">
      <c r="A3" s="11" t="s">
        <v>581</v>
      </c>
    </row>
    <row r="6">
      <c r="A6" s="11" t="s">
        <v>582</v>
      </c>
    </row>
    <row r="8">
      <c r="A8" s="11" t="s">
        <v>583</v>
      </c>
      <c r="M8" s="11" t="s">
        <v>584</v>
      </c>
    </row>
    <row r="9">
      <c r="A9" s="11" t="s">
        <v>585</v>
      </c>
      <c r="C9" s="11">
        <v>2.0</v>
      </c>
      <c r="D9" s="11">
        <v>5.0</v>
      </c>
      <c r="E9" s="11">
        <v>9.0</v>
      </c>
      <c r="F9" s="11" t="s">
        <v>563</v>
      </c>
      <c r="M9" s="11" t="s">
        <v>585</v>
      </c>
      <c r="O9" s="11">
        <v>2.0</v>
      </c>
      <c r="P9" s="11">
        <v>5.0</v>
      </c>
      <c r="Q9" s="11">
        <v>9.0</v>
      </c>
      <c r="R9" s="11" t="s">
        <v>563</v>
      </c>
    </row>
    <row r="10">
      <c r="C10" s="11" t="s">
        <v>99</v>
      </c>
      <c r="D10" s="11" t="s">
        <v>102</v>
      </c>
      <c r="E10" s="11" t="s">
        <v>106</v>
      </c>
    </row>
    <row r="11">
      <c r="A11" s="11" t="s">
        <v>586</v>
      </c>
      <c r="C11" s="11">
        <v>79.375138</v>
      </c>
      <c r="D11" s="11">
        <v>158.98624</v>
      </c>
      <c r="E11" s="11">
        <v>87.188244</v>
      </c>
      <c r="F11" s="11">
        <v>325.549622</v>
      </c>
      <c r="M11" s="11" t="s">
        <v>586</v>
      </c>
      <c r="O11" s="11">
        <v>8.593236298495874</v>
      </c>
      <c r="P11" s="11">
        <v>20.77595217282198</v>
      </c>
      <c r="Q11" s="11">
        <v>7.99492375662865</v>
      </c>
      <c r="R11" s="11">
        <v>11.71260944422796</v>
      </c>
    </row>
    <row r="12">
      <c r="A12" s="11" t="s">
        <v>587</v>
      </c>
      <c r="C12" s="11">
        <v>128.46855</v>
      </c>
      <c r="D12" s="11">
        <v>197.808815</v>
      </c>
      <c r="E12" s="11">
        <v>178.52831</v>
      </c>
      <c r="F12" s="11">
        <v>504.80567500000006</v>
      </c>
      <c r="M12" s="11" t="s">
        <v>587</v>
      </c>
      <c r="O12" s="11">
        <v>13.908140948052676</v>
      </c>
      <c r="P12" s="11">
        <v>25.849196004651667</v>
      </c>
      <c r="Q12" s="11">
        <v>16.370558246932518</v>
      </c>
      <c r="R12" s="11">
        <v>18.16187553891514</v>
      </c>
    </row>
    <row r="13">
      <c r="A13" s="11" t="s">
        <v>588</v>
      </c>
      <c r="C13" s="11">
        <v>314.33057</v>
      </c>
      <c r="D13" s="11">
        <v>216.57484</v>
      </c>
      <c r="E13" s="11">
        <v>359.36319</v>
      </c>
      <c r="F13" s="11">
        <v>890.2686000000001</v>
      </c>
      <c r="M13" s="11" t="s">
        <v>588</v>
      </c>
      <c r="O13" s="11">
        <v>34.02975959362613</v>
      </c>
      <c r="P13" s="11">
        <v>28.301496517412907</v>
      </c>
      <c r="Q13" s="11">
        <v>32.95262266078963</v>
      </c>
      <c r="R13" s="11">
        <v>32.030043064401426</v>
      </c>
    </row>
    <row r="14">
      <c r="A14" s="11" t="s">
        <v>589</v>
      </c>
      <c r="C14" s="11">
        <v>401.51924</v>
      </c>
      <c r="D14" s="11">
        <v>191.87178</v>
      </c>
      <c r="E14" s="11">
        <v>465.46529</v>
      </c>
      <c r="F14" s="11">
        <v>1058.8563100000001</v>
      </c>
      <c r="M14" s="11" t="s">
        <v>589</v>
      </c>
      <c r="O14" s="11">
        <v>43.46889712131872</v>
      </c>
      <c r="P14" s="11">
        <v>25.073358075480122</v>
      </c>
      <c r="Q14" s="11">
        <v>42.681895335649195</v>
      </c>
      <c r="R14" s="11">
        <v>38.09548400147234</v>
      </c>
    </row>
    <row r="15">
      <c r="A15" s="11" t="s">
        <v>590</v>
      </c>
      <c r="C15" s="11">
        <v>1304.878</v>
      </c>
      <c r="D15" s="11">
        <v>1758.906</v>
      </c>
      <c r="E15" s="11">
        <v>1106.0798</v>
      </c>
      <c r="F15" s="11">
        <v>4169.863799999999</v>
      </c>
      <c r="M15" s="11" t="s">
        <v>590</v>
      </c>
      <c r="O15" s="11">
        <v>141.2674708635933</v>
      </c>
      <c r="P15" s="11">
        <v>229.84974632074838</v>
      </c>
      <c r="Q15" s="11">
        <v>101.42449559767562</v>
      </c>
      <c r="R15" s="11">
        <v>150.02316950939135</v>
      </c>
    </row>
    <row r="16">
      <c r="A16" s="11" t="s">
        <v>158</v>
      </c>
      <c r="C16" s="11">
        <v>33.1555397</v>
      </c>
      <c r="D16" s="11">
        <v>42.379223</v>
      </c>
      <c r="E16" s="11">
        <v>19.375166</v>
      </c>
      <c r="F16" s="11">
        <v>94.9099287</v>
      </c>
      <c r="M16" s="11" t="s">
        <v>158</v>
      </c>
      <c r="O16" s="11">
        <v>3.589453756241167</v>
      </c>
      <c r="P16" s="11">
        <v>5.538018322650799</v>
      </c>
      <c r="Q16" s="11">
        <v>1.7766497848267675</v>
      </c>
      <c r="R16" s="11">
        <v>3.4146650836615695</v>
      </c>
    </row>
    <row r="17">
      <c r="A17" s="11" t="s">
        <v>568</v>
      </c>
      <c r="C17" s="11">
        <v>22.919276</v>
      </c>
      <c r="D17" s="11">
        <v>7.9471232</v>
      </c>
      <c r="E17" s="11">
        <v>0.0</v>
      </c>
      <c r="F17" s="11">
        <v>30.8663992</v>
      </c>
      <c r="M17" s="11" t="s">
        <v>568</v>
      </c>
      <c r="O17" s="11">
        <v>2.481265033623567</v>
      </c>
      <c r="P17" s="11">
        <v>1.0385115813464358</v>
      </c>
      <c r="Q17" s="11">
        <v>0.0</v>
      </c>
      <c r="R17" s="11">
        <v>1.1105099018644549</v>
      </c>
    </row>
    <row r="19">
      <c r="A19" s="11" t="s">
        <v>32</v>
      </c>
      <c r="C19" s="11">
        <v>2284.646</v>
      </c>
      <c r="D19" s="11">
        <v>2574.474</v>
      </c>
      <c r="E19" s="11">
        <v>2216.0</v>
      </c>
      <c r="F19" s="11">
        <v>7075.120000000001</v>
      </c>
      <c r="M19" s="11" t="s">
        <v>32</v>
      </c>
      <c r="O19" s="11">
        <v>247.33818965345802</v>
      </c>
      <c r="P19" s="11">
        <v>336.4262762247456</v>
      </c>
      <c r="Q19" s="11">
        <v>203.20114538250238</v>
      </c>
      <c r="R19" s="11">
        <v>254.5483444949174</v>
      </c>
    </row>
    <row r="20">
      <c r="M20" s="11" t="s">
        <v>591</v>
      </c>
      <c r="O20" s="12">
        <f t="shared" ref="O20:R20" si="1">O11+O12+O13+O14</f>
        <v>100.000034</v>
      </c>
      <c r="P20" s="12">
        <f t="shared" si="1"/>
        <v>100.0000028</v>
      </c>
      <c r="Q20" s="12">
        <f t="shared" si="1"/>
        <v>100</v>
      </c>
      <c r="R20" s="12">
        <f t="shared" si="1"/>
        <v>100.000012</v>
      </c>
    </row>
    <row r="21" ht="15.75" customHeight="1"/>
    <row r="22" ht="15.75" customHeight="1">
      <c r="A22" s="83" t="s">
        <v>592</v>
      </c>
    </row>
    <row r="23" ht="15.75" customHeight="1">
      <c r="B23" s="26" t="s">
        <v>99</v>
      </c>
      <c r="C23" s="26" t="s">
        <v>102</v>
      </c>
      <c r="D23" s="26" t="s">
        <v>106</v>
      </c>
    </row>
    <row r="24" ht="15.75" customHeight="1">
      <c r="B24" s="26">
        <v>2004.0</v>
      </c>
      <c r="C24" s="26">
        <v>2010.0</v>
      </c>
      <c r="D24" s="26">
        <v>2018.0</v>
      </c>
    </row>
    <row r="25" ht="15.75" customHeight="1">
      <c r="A25" s="11" t="s">
        <v>586</v>
      </c>
      <c r="B25" s="27">
        <f t="shared" ref="B25:D25" si="2">O11</f>
        <v>8.593236298</v>
      </c>
      <c r="C25" s="27">
        <f t="shared" si="2"/>
        <v>20.77595217</v>
      </c>
      <c r="D25" s="27">
        <f t="shared" si="2"/>
        <v>7.994923757</v>
      </c>
    </row>
    <row r="26" ht="15.75" customHeight="1">
      <c r="A26" s="11" t="s">
        <v>587</v>
      </c>
      <c r="B26" s="27">
        <f t="shared" ref="B26:D26" si="3">O12</f>
        <v>13.90814095</v>
      </c>
      <c r="C26" s="27">
        <f t="shared" si="3"/>
        <v>25.849196</v>
      </c>
      <c r="D26" s="27">
        <f t="shared" si="3"/>
        <v>16.37055825</v>
      </c>
    </row>
    <row r="27" ht="15.75" customHeight="1">
      <c r="A27" s="11" t="s">
        <v>588</v>
      </c>
      <c r="B27" s="27">
        <f t="shared" ref="B27:D27" si="4">O13</f>
        <v>34.02975959</v>
      </c>
      <c r="C27" s="27">
        <f t="shared" si="4"/>
        <v>28.30149652</v>
      </c>
      <c r="D27" s="27">
        <f t="shared" si="4"/>
        <v>32.95262266</v>
      </c>
    </row>
    <row r="28" ht="15.75" customHeight="1">
      <c r="A28" s="11" t="s">
        <v>589</v>
      </c>
      <c r="B28" s="27">
        <f t="shared" ref="B28:D28" si="5">O14</f>
        <v>43.46889712</v>
      </c>
      <c r="C28" s="27">
        <f t="shared" si="5"/>
        <v>25.07335808</v>
      </c>
      <c r="D28" s="27">
        <f t="shared" si="5"/>
        <v>42.68189534</v>
      </c>
    </row>
    <row r="29" ht="15.75" customHeight="1"/>
    <row r="30" ht="15.75" customHeight="1">
      <c r="A30" s="11" t="s">
        <v>593</v>
      </c>
      <c r="B30" s="27">
        <f t="shared" ref="B30:D30" si="6">B25+B26</f>
        <v>22.50137725</v>
      </c>
      <c r="C30" s="27">
        <f t="shared" si="6"/>
        <v>46.62514818</v>
      </c>
      <c r="D30" s="27">
        <f t="shared" si="6"/>
        <v>24.365482</v>
      </c>
    </row>
    <row r="31" ht="15.75" customHeight="1">
      <c r="A31" s="11" t="s">
        <v>594</v>
      </c>
      <c r="B31" s="27">
        <f t="shared" ref="B31:D31" si="7">B27+B28</f>
        <v>77.49865671</v>
      </c>
      <c r="C31" s="27">
        <f t="shared" si="7"/>
        <v>53.37485459</v>
      </c>
      <c r="D31" s="27">
        <f t="shared" si="7"/>
        <v>75.634518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8" t="s">
        <v>595</v>
      </c>
    </row>
    <row r="49" ht="15.75" customHeight="1">
      <c r="A49" s="11" t="s">
        <v>596</v>
      </c>
      <c r="K49" s="11" t="s">
        <v>597</v>
      </c>
    </row>
    <row r="50" ht="15.75" customHeight="1">
      <c r="B50" s="84" t="s">
        <v>586</v>
      </c>
      <c r="C50" s="85" t="s">
        <v>587</v>
      </c>
      <c r="D50" s="84" t="s">
        <v>588</v>
      </c>
      <c r="E50" s="85" t="s">
        <v>589</v>
      </c>
      <c r="F50" s="84" t="s">
        <v>158</v>
      </c>
      <c r="G50" s="85" t="s">
        <v>598</v>
      </c>
      <c r="H50" s="84" t="s">
        <v>32</v>
      </c>
      <c r="I50" s="85" t="s">
        <v>599</v>
      </c>
      <c r="L50" s="84" t="s">
        <v>586</v>
      </c>
      <c r="M50" s="85" t="s">
        <v>587</v>
      </c>
      <c r="N50" s="84" t="s">
        <v>588</v>
      </c>
      <c r="O50" s="85" t="s">
        <v>589</v>
      </c>
      <c r="P50" s="84" t="s">
        <v>32</v>
      </c>
    </row>
    <row r="51" ht="15.75" customHeight="1">
      <c r="A51" s="86" t="s">
        <v>600</v>
      </c>
      <c r="B51" s="12">
        <v>7.3810153</v>
      </c>
      <c r="C51" s="12">
        <v>5.9970751</v>
      </c>
      <c r="D51" s="12">
        <v>8.30364235</v>
      </c>
      <c r="E51" s="12">
        <v>11.99415</v>
      </c>
      <c r="F51" s="12">
        <v>0.0</v>
      </c>
      <c r="G51" s="12">
        <v>124.55463</v>
      </c>
      <c r="H51" s="12">
        <v>158.23052</v>
      </c>
      <c r="I51" s="12">
        <f t="shared" ref="I51:I63" si="9">H51-G51-F51</f>
        <v>33.67589</v>
      </c>
      <c r="K51" s="86" t="s">
        <v>600</v>
      </c>
      <c r="L51" s="87">
        <f t="shared" ref="L51:O51" si="8">B51/$I$51</f>
        <v>0.2191780321</v>
      </c>
      <c r="M51" s="87">
        <f t="shared" si="8"/>
        <v>0.1780821561</v>
      </c>
      <c r="N51" s="87">
        <f t="shared" si="8"/>
        <v>0.2465752902</v>
      </c>
      <c r="O51" s="87">
        <f t="shared" si="8"/>
        <v>0.3561643063</v>
      </c>
      <c r="P51" s="87">
        <f t="shared" ref="P51:P60" si="11">L51+M51+N51+O51</f>
        <v>0.9999997847</v>
      </c>
    </row>
    <row r="52" ht="15.75" customHeight="1">
      <c r="A52" s="86" t="s">
        <v>601</v>
      </c>
      <c r="B52" s="12">
        <v>8.3036423</v>
      </c>
      <c r="C52" s="12">
        <v>12.916777</v>
      </c>
      <c r="D52" s="12">
        <v>20.759106</v>
      </c>
      <c r="E52" s="12">
        <v>25.372241</v>
      </c>
      <c r="F52" s="12">
        <v>2.3065673</v>
      </c>
      <c r="G52" s="12">
        <v>98.259768</v>
      </c>
      <c r="H52" s="12">
        <v>167.9181</v>
      </c>
      <c r="I52" s="12">
        <f t="shared" si="9"/>
        <v>67.3517647</v>
      </c>
      <c r="K52" s="86" t="s">
        <v>601</v>
      </c>
      <c r="L52" s="87">
        <f t="shared" ref="L52:O52" si="10">B52/$I$52</f>
        <v>0.1232876724</v>
      </c>
      <c r="M52" s="87">
        <f t="shared" si="10"/>
        <v>0.191780825</v>
      </c>
      <c r="N52" s="87">
        <f t="shared" si="10"/>
        <v>0.3082191846</v>
      </c>
      <c r="O52" s="87">
        <f t="shared" si="10"/>
        <v>0.3767123417</v>
      </c>
      <c r="P52" s="87">
        <f t="shared" si="11"/>
        <v>1.000000024</v>
      </c>
    </row>
    <row r="53" ht="15.75" customHeight="1">
      <c r="A53" s="86" t="s">
        <v>602</v>
      </c>
      <c r="B53" s="12">
        <v>9.6875826</v>
      </c>
      <c r="C53" s="12">
        <v>22.604359</v>
      </c>
      <c r="D53" s="12">
        <v>21.22042</v>
      </c>
      <c r="E53" s="12">
        <v>36.905077</v>
      </c>
      <c r="F53" s="12">
        <v>0.92262692</v>
      </c>
      <c r="G53" s="12">
        <v>144.39111</v>
      </c>
      <c r="H53" s="12">
        <v>235.73118</v>
      </c>
      <c r="I53" s="12">
        <f t="shared" si="9"/>
        <v>90.41744308</v>
      </c>
      <c r="K53" s="86" t="s">
        <v>602</v>
      </c>
      <c r="L53" s="87">
        <f t="shared" ref="L53:O53" si="12">B53/$I$53</f>
        <v>0.1071428506</v>
      </c>
      <c r="M53" s="87">
        <f t="shared" si="12"/>
        <v>0.2499999804</v>
      </c>
      <c r="N53" s="87">
        <f t="shared" si="12"/>
        <v>0.2346938741</v>
      </c>
      <c r="O53" s="87">
        <f t="shared" si="12"/>
        <v>0.4081632453</v>
      </c>
      <c r="P53" s="87">
        <f t="shared" si="11"/>
        <v>0.9999999505</v>
      </c>
    </row>
    <row r="54" ht="15.75" customHeight="1">
      <c r="A54" s="86" t="s">
        <v>603</v>
      </c>
      <c r="B54" s="12">
        <v>6.919702</v>
      </c>
      <c r="C54" s="12">
        <v>7.3810154</v>
      </c>
      <c r="D54" s="12">
        <v>25.372241</v>
      </c>
      <c r="E54" s="12">
        <v>32.2919423</v>
      </c>
      <c r="F54" s="12">
        <v>3.69050785</v>
      </c>
      <c r="G54" s="12">
        <v>92.262693</v>
      </c>
      <c r="H54" s="12">
        <v>167.9181</v>
      </c>
      <c r="I54" s="12">
        <f t="shared" si="9"/>
        <v>71.96489915</v>
      </c>
      <c r="K54" s="86" t="s">
        <v>603</v>
      </c>
      <c r="L54" s="87">
        <f t="shared" ref="L54:O54" si="13">B54/$I$54</f>
        <v>0.09615384836</v>
      </c>
      <c r="M54" s="87">
        <f t="shared" si="13"/>
        <v>0.102564104</v>
      </c>
      <c r="N54" s="87">
        <f t="shared" si="13"/>
        <v>0.3525641153</v>
      </c>
      <c r="O54" s="87">
        <f t="shared" si="13"/>
        <v>0.4487179539</v>
      </c>
      <c r="P54" s="87">
        <f t="shared" si="11"/>
        <v>1.000000022</v>
      </c>
    </row>
    <row r="55" ht="15.75" customHeight="1">
      <c r="A55" s="86" t="s">
        <v>604</v>
      </c>
      <c r="B55" s="12">
        <v>11.071523</v>
      </c>
      <c r="C55" s="12">
        <v>23.065673</v>
      </c>
      <c r="D55" s="12">
        <v>29.985375</v>
      </c>
      <c r="E55" s="12">
        <v>34.59851</v>
      </c>
      <c r="F55" s="12">
        <v>0.0</v>
      </c>
      <c r="G55" s="12">
        <v>83.497738</v>
      </c>
      <c r="H55" s="12">
        <v>182.21882</v>
      </c>
      <c r="I55" s="12">
        <f t="shared" si="9"/>
        <v>98.721082</v>
      </c>
      <c r="K55" s="86" t="s">
        <v>604</v>
      </c>
      <c r="L55" s="87">
        <f t="shared" ref="L55:O55" si="14">B55/$I$55</f>
        <v>0.1121495305</v>
      </c>
      <c r="M55" s="87">
        <f t="shared" si="14"/>
        <v>0.2336448561</v>
      </c>
      <c r="N55" s="87">
        <f t="shared" si="14"/>
        <v>0.303738314</v>
      </c>
      <c r="O55" s="87">
        <f t="shared" si="14"/>
        <v>0.3504672892</v>
      </c>
      <c r="P55" s="87">
        <f t="shared" si="11"/>
        <v>0.9999999899</v>
      </c>
    </row>
    <row r="56" ht="15.75" customHeight="1">
      <c r="A56" s="86" t="s">
        <v>605</v>
      </c>
      <c r="B56" s="12">
        <v>5.9970751</v>
      </c>
      <c r="C56" s="12">
        <v>12.455463</v>
      </c>
      <c r="D56" s="12">
        <v>26.294868</v>
      </c>
      <c r="E56" s="12">
        <v>34.59851</v>
      </c>
      <c r="F56" s="12">
        <v>0.92262692</v>
      </c>
      <c r="G56" s="12">
        <v>49.821854</v>
      </c>
      <c r="H56" s="12">
        <v>130.0904</v>
      </c>
      <c r="I56" s="12">
        <f t="shared" si="9"/>
        <v>79.34591908</v>
      </c>
      <c r="K56" s="86" t="s">
        <v>605</v>
      </c>
      <c r="L56" s="87">
        <f t="shared" ref="L56:O56" si="15">B56/$I$56</f>
        <v>0.07558139309</v>
      </c>
      <c r="M56" s="87">
        <f t="shared" si="15"/>
        <v>0.1569767311</v>
      </c>
      <c r="N56" s="87">
        <f t="shared" si="15"/>
        <v>0.3313953421</v>
      </c>
      <c r="O56" s="87">
        <f t="shared" si="15"/>
        <v>0.4360464962</v>
      </c>
      <c r="P56" s="87">
        <f t="shared" si="11"/>
        <v>0.9999999624</v>
      </c>
    </row>
    <row r="57" ht="15.75" customHeight="1">
      <c r="A57" s="86" t="s">
        <v>606</v>
      </c>
      <c r="B57" s="12">
        <v>7.3810155</v>
      </c>
      <c r="C57" s="12">
        <v>2.7678808</v>
      </c>
      <c r="D57" s="12">
        <v>41.518212</v>
      </c>
      <c r="E57" s="12">
        <v>31.830629</v>
      </c>
      <c r="F57" s="12">
        <v>2.3065673</v>
      </c>
      <c r="G57" s="12">
        <v>49.671969</v>
      </c>
      <c r="H57" s="12">
        <v>135.47627</v>
      </c>
      <c r="I57" s="12">
        <f t="shared" si="9"/>
        <v>83.4977337</v>
      </c>
      <c r="K57" s="86" t="s">
        <v>606</v>
      </c>
      <c r="L57" s="87">
        <f t="shared" ref="L57:O57" si="16">B57/$I$57</f>
        <v>0.08839779444</v>
      </c>
      <c r="M57" s="87">
        <f t="shared" si="16"/>
        <v>0.03314917277</v>
      </c>
      <c r="N57" s="87">
        <f t="shared" si="16"/>
        <v>0.4972375915</v>
      </c>
      <c r="O57" s="87">
        <f t="shared" si="16"/>
        <v>0.3812154844</v>
      </c>
      <c r="P57" s="87">
        <f t="shared" si="11"/>
        <v>1.000000043</v>
      </c>
    </row>
    <row r="58" ht="15.75" customHeight="1">
      <c r="A58" s="86" t="s">
        <v>607</v>
      </c>
      <c r="B58" s="12">
        <v>2.7678808</v>
      </c>
      <c r="C58" s="12">
        <v>17.529912</v>
      </c>
      <c r="D58" s="12">
        <v>28.601435</v>
      </c>
      <c r="E58" s="12">
        <v>47.0539737</v>
      </c>
      <c r="F58" s="12">
        <v>0.0</v>
      </c>
      <c r="G58" s="12">
        <v>34.1371965</v>
      </c>
      <c r="H58" s="12">
        <v>130.0904</v>
      </c>
      <c r="I58" s="12">
        <f t="shared" si="9"/>
        <v>95.9532035</v>
      </c>
      <c r="K58" s="86" t="s">
        <v>607</v>
      </c>
      <c r="L58" s="87">
        <f t="shared" ref="L58:O58" si="17">B58/$I$58</f>
        <v>0.02884615311</v>
      </c>
      <c r="M58" s="87">
        <f t="shared" si="17"/>
        <v>0.1826923058</v>
      </c>
      <c r="N58" s="87">
        <f t="shared" si="17"/>
        <v>0.2980769162</v>
      </c>
      <c r="O58" s="87">
        <f t="shared" si="17"/>
        <v>0.490384604</v>
      </c>
      <c r="P58" s="87">
        <f t="shared" si="11"/>
        <v>0.9999999792</v>
      </c>
    </row>
    <row r="59" ht="15.75" customHeight="1">
      <c r="A59" s="86" t="s">
        <v>608</v>
      </c>
      <c r="B59" s="12">
        <v>7.8423288</v>
      </c>
      <c r="C59" s="12">
        <v>6.9197021</v>
      </c>
      <c r="D59" s="12">
        <v>19.375166</v>
      </c>
      <c r="E59" s="12">
        <v>43.824779</v>
      </c>
      <c r="F59" s="12">
        <v>0.92262692</v>
      </c>
      <c r="G59" s="12">
        <v>19.836479</v>
      </c>
      <c r="H59" s="12">
        <v>98.721082</v>
      </c>
      <c r="I59" s="12">
        <f t="shared" si="9"/>
        <v>77.96197608</v>
      </c>
      <c r="K59" s="86" t="s">
        <v>608</v>
      </c>
      <c r="L59" s="87">
        <f t="shared" ref="L59:O59" si="18">B59/$I$59</f>
        <v>0.100591714</v>
      </c>
      <c r="M59" s="87">
        <f t="shared" si="18"/>
        <v>0.08875739749</v>
      </c>
      <c r="N59" s="87">
        <f t="shared" si="18"/>
        <v>0.2485207145</v>
      </c>
      <c r="O59" s="87">
        <f t="shared" si="18"/>
        <v>0.5621301717</v>
      </c>
      <c r="P59" s="87">
        <f t="shared" si="11"/>
        <v>0.9999999977</v>
      </c>
    </row>
    <row r="60" ht="15.75" customHeight="1">
      <c r="A60" s="86" t="s">
        <v>609</v>
      </c>
      <c r="B60" s="12">
        <v>4.6131348</v>
      </c>
      <c r="C60" s="12">
        <v>11.071523</v>
      </c>
      <c r="D60" s="12">
        <v>29.524062</v>
      </c>
      <c r="E60" s="12">
        <v>41.979525</v>
      </c>
      <c r="F60" s="12">
        <v>0.92262692</v>
      </c>
      <c r="G60" s="12">
        <v>37.827704</v>
      </c>
      <c r="H60" s="12">
        <v>125.93858</v>
      </c>
      <c r="I60" s="12">
        <f t="shared" si="9"/>
        <v>87.18824908</v>
      </c>
      <c r="K60" s="86" t="s">
        <v>609</v>
      </c>
      <c r="L60" s="87">
        <f t="shared" ref="L60:O60" si="19">B60/$I$60</f>
        <v>0.05291005208</v>
      </c>
      <c r="M60" s="87">
        <f t="shared" si="19"/>
        <v>0.126984119</v>
      </c>
      <c r="N60" s="87">
        <f t="shared" si="19"/>
        <v>0.3386243251</v>
      </c>
      <c r="O60" s="87">
        <f t="shared" si="19"/>
        <v>0.4814814547</v>
      </c>
      <c r="P60" s="87">
        <f t="shared" si="11"/>
        <v>0.9999999509</v>
      </c>
    </row>
    <row r="61" ht="15.75" customHeight="1">
      <c r="A61" s="86" t="s">
        <v>158</v>
      </c>
      <c r="B61" s="12">
        <v>15.223344</v>
      </c>
      <c r="C61" s="12">
        <v>55.8189296</v>
      </c>
      <c r="D61" s="12">
        <v>108.40866</v>
      </c>
      <c r="E61" s="12">
        <v>125.015949</v>
      </c>
      <c r="F61" s="12">
        <v>7.3810154</v>
      </c>
      <c r="G61" s="12">
        <v>371.81865</v>
      </c>
      <c r="H61" s="12">
        <v>683.66656</v>
      </c>
      <c r="I61" s="12">
        <f t="shared" si="9"/>
        <v>304.4668946</v>
      </c>
      <c r="K61" s="86" t="s">
        <v>158</v>
      </c>
      <c r="P61" s="87"/>
    </row>
    <row r="62" ht="15.75" customHeight="1">
      <c r="A62" s="5" t="s">
        <v>610</v>
      </c>
      <c r="B62" s="88">
        <f>SUM($C51:$C60)</f>
        <v>122.7093804</v>
      </c>
      <c r="C62" s="88">
        <f>SUM($D51:$D60)</f>
        <v>250.9545274</v>
      </c>
      <c r="D62" s="88">
        <f>SUM($E51:$E60)</f>
        <v>340.449337</v>
      </c>
      <c r="E62" s="88">
        <f>SUM($F51:$F60)</f>
        <v>11.99415013</v>
      </c>
      <c r="F62" s="89" t="s">
        <v>611</v>
      </c>
      <c r="G62" s="89" t="s">
        <v>611</v>
      </c>
      <c r="H62" s="88">
        <f>SUM($C62:$F62)</f>
        <v>603.3980145</v>
      </c>
      <c r="I62" s="12" t="str">
        <f t="shared" si="9"/>
        <v>#VALUE!</v>
      </c>
      <c r="K62" s="5" t="s">
        <v>610</v>
      </c>
      <c r="P62" s="87"/>
    </row>
    <row r="63" ht="15.75" customHeight="1">
      <c r="A63" s="5" t="s">
        <v>612</v>
      </c>
      <c r="B63" s="88">
        <v>87.188244</v>
      </c>
      <c r="C63" s="88">
        <v>178.52831</v>
      </c>
      <c r="D63" s="88">
        <v>359.36319</v>
      </c>
      <c r="E63" s="88">
        <v>465.46529</v>
      </c>
      <c r="F63" s="88">
        <v>19.375166</v>
      </c>
      <c r="G63" s="88">
        <v>1106.0798</v>
      </c>
      <c r="H63" s="88">
        <v>2216.0</v>
      </c>
      <c r="I63" s="12">
        <f t="shared" si="9"/>
        <v>1090.545034</v>
      </c>
      <c r="K63" s="5" t="s">
        <v>612</v>
      </c>
      <c r="P63" s="87"/>
    </row>
    <row r="64" ht="15.75" customHeight="1"/>
    <row r="65" ht="15.75" customHeight="1"/>
    <row r="66" ht="15.75" customHeight="1">
      <c r="A66" s="8" t="s">
        <v>613</v>
      </c>
    </row>
    <row r="67" ht="15.75" customHeight="1">
      <c r="A67" s="8"/>
      <c r="B67" s="84" t="s">
        <v>586</v>
      </c>
      <c r="C67" s="85" t="s">
        <v>587</v>
      </c>
      <c r="D67" s="84" t="s">
        <v>588</v>
      </c>
      <c r="E67" s="85" t="s">
        <v>589</v>
      </c>
      <c r="F67" s="84" t="s">
        <v>158</v>
      </c>
      <c r="G67" s="85" t="s">
        <v>598</v>
      </c>
      <c r="H67" s="84" t="s">
        <v>32</v>
      </c>
      <c r="I67" s="85" t="s">
        <v>599</v>
      </c>
      <c r="L67" s="84" t="s">
        <v>586</v>
      </c>
      <c r="M67" s="85" t="s">
        <v>587</v>
      </c>
      <c r="N67" s="84" t="s">
        <v>588</v>
      </c>
      <c r="O67" s="85" t="s">
        <v>589</v>
      </c>
      <c r="P67" s="84" t="s">
        <v>32</v>
      </c>
      <c r="T67" s="11" t="s">
        <v>593</v>
      </c>
      <c r="U67" s="11" t="s">
        <v>594</v>
      </c>
    </row>
    <row r="68" ht="15.75" customHeight="1">
      <c r="A68" s="17" t="s">
        <v>170</v>
      </c>
      <c r="B68" s="12">
        <f t="shared" ref="B68:I68" si="20">B51+B52</f>
        <v>15.6846576</v>
      </c>
      <c r="C68" s="12">
        <f t="shared" si="20"/>
        <v>18.9138521</v>
      </c>
      <c r="D68" s="12">
        <f t="shared" si="20"/>
        <v>29.06274835</v>
      </c>
      <c r="E68" s="12">
        <f t="shared" si="20"/>
        <v>37.366391</v>
      </c>
      <c r="F68" s="12">
        <f t="shared" si="20"/>
        <v>2.3065673</v>
      </c>
      <c r="G68" s="12">
        <f t="shared" si="20"/>
        <v>222.814398</v>
      </c>
      <c r="H68" s="12">
        <f t="shared" si="20"/>
        <v>326.14862</v>
      </c>
      <c r="I68" s="12">
        <f t="shared" si="20"/>
        <v>101.0276547</v>
      </c>
      <c r="J68" s="12"/>
      <c r="K68" s="17" t="s">
        <v>170</v>
      </c>
      <c r="L68" s="87">
        <f t="shared" ref="L68:O68" si="21">B68/$I$68</f>
        <v>0.1552511305</v>
      </c>
      <c r="M68" s="87">
        <f t="shared" si="21"/>
        <v>0.1872146014</v>
      </c>
      <c r="N68" s="87">
        <f t="shared" si="21"/>
        <v>0.2876712167</v>
      </c>
      <c r="O68" s="87">
        <f t="shared" si="21"/>
        <v>0.3698629955</v>
      </c>
      <c r="P68" s="87">
        <f t="shared" ref="P68:P72" si="25">L68+M68+N68+O68</f>
        <v>0.9999999441</v>
      </c>
      <c r="S68" s="17" t="s">
        <v>170</v>
      </c>
      <c r="T68" s="87">
        <f t="shared" ref="T68:T72" si="26">L68+M68</f>
        <v>0.3424657318</v>
      </c>
      <c r="U68" s="87">
        <f t="shared" ref="U68:U72" si="27">N68+O68</f>
        <v>0.6575342123</v>
      </c>
      <c r="V68" s="87"/>
      <c r="W68" s="27">
        <f t="shared" ref="W68:X68" si="22">T68*100</f>
        <v>34.24657318</v>
      </c>
      <c r="X68" s="27">
        <f t="shared" si="22"/>
        <v>65.75342123</v>
      </c>
    </row>
    <row r="69" ht="15.75" customHeight="1">
      <c r="A69" s="17">
        <v>2.0</v>
      </c>
      <c r="B69" s="12">
        <f t="shared" ref="B69:I69" si="23">B53+B54</f>
        <v>16.6072846</v>
      </c>
      <c r="C69" s="12">
        <f t="shared" si="23"/>
        <v>29.9853744</v>
      </c>
      <c r="D69" s="12">
        <f t="shared" si="23"/>
        <v>46.592661</v>
      </c>
      <c r="E69" s="12">
        <f t="shared" si="23"/>
        <v>69.1970193</v>
      </c>
      <c r="F69" s="12">
        <f t="shared" si="23"/>
        <v>4.61313477</v>
      </c>
      <c r="G69" s="12">
        <f t="shared" si="23"/>
        <v>236.653803</v>
      </c>
      <c r="H69" s="12">
        <f t="shared" si="23"/>
        <v>403.64928</v>
      </c>
      <c r="I69" s="12">
        <f t="shared" si="23"/>
        <v>162.3823422</v>
      </c>
      <c r="J69" s="12"/>
      <c r="K69" s="17">
        <v>2.0</v>
      </c>
      <c r="L69" s="87">
        <f t="shared" ref="L69:O69" si="24">B69/$I$69</f>
        <v>0.1022727248</v>
      </c>
      <c r="M69" s="87">
        <f t="shared" si="24"/>
        <v>0.1846590829</v>
      </c>
      <c r="N69" s="87">
        <f t="shared" si="24"/>
        <v>0.28693182</v>
      </c>
      <c r="O69" s="87">
        <f t="shared" si="24"/>
        <v>0.4261363542</v>
      </c>
      <c r="P69" s="87">
        <f t="shared" si="25"/>
        <v>0.999999982</v>
      </c>
      <c r="S69" s="17">
        <v>2.0</v>
      </c>
      <c r="T69" s="87">
        <f t="shared" si="26"/>
        <v>0.2869318077</v>
      </c>
      <c r="U69" s="87">
        <f t="shared" si="27"/>
        <v>0.7130681742</v>
      </c>
      <c r="V69" s="87"/>
      <c r="W69" s="27">
        <f t="shared" ref="W69:X69" si="28">T69*100</f>
        <v>28.69318077</v>
      </c>
      <c r="X69" s="27">
        <f t="shared" si="28"/>
        <v>71.30681742</v>
      </c>
    </row>
    <row r="70" ht="15.75" customHeight="1">
      <c r="A70" s="17">
        <v>3.0</v>
      </c>
      <c r="B70" s="12">
        <f t="shared" ref="B70:I70" si="29">B55+B56</f>
        <v>17.0685981</v>
      </c>
      <c r="C70" s="12">
        <f t="shared" si="29"/>
        <v>35.521136</v>
      </c>
      <c r="D70" s="12">
        <f t="shared" si="29"/>
        <v>56.280243</v>
      </c>
      <c r="E70" s="12">
        <f t="shared" si="29"/>
        <v>69.19702</v>
      </c>
      <c r="F70" s="12">
        <f t="shared" si="29"/>
        <v>0.92262692</v>
      </c>
      <c r="G70" s="12">
        <f t="shared" si="29"/>
        <v>133.319592</v>
      </c>
      <c r="H70" s="12">
        <f t="shared" si="29"/>
        <v>312.30922</v>
      </c>
      <c r="I70" s="12">
        <f t="shared" si="29"/>
        <v>178.0670011</v>
      </c>
      <c r="J70" s="12"/>
      <c r="K70" s="17">
        <v>3.0</v>
      </c>
      <c r="L70" s="87">
        <f t="shared" ref="L70:O70" si="30">B70/$I$70</f>
        <v>0.09585491976</v>
      </c>
      <c r="M70" s="87">
        <f t="shared" si="30"/>
        <v>0.1994818567</v>
      </c>
      <c r="N70" s="87">
        <f t="shared" si="30"/>
        <v>0.3160621713</v>
      </c>
      <c r="O70" s="87">
        <f t="shared" si="30"/>
        <v>0.3886010298</v>
      </c>
      <c r="P70" s="87">
        <f t="shared" si="25"/>
        <v>0.9999999776</v>
      </c>
      <c r="S70" s="17">
        <v>3.0</v>
      </c>
      <c r="T70" s="87">
        <f t="shared" si="26"/>
        <v>0.2953367765</v>
      </c>
      <c r="U70" s="87">
        <f t="shared" si="27"/>
        <v>0.7046632011</v>
      </c>
      <c r="V70" s="87"/>
      <c r="W70" s="27">
        <f t="shared" ref="W70:X70" si="31">T70*100</f>
        <v>29.53367765</v>
      </c>
      <c r="X70" s="27">
        <f t="shared" si="31"/>
        <v>70.46632011</v>
      </c>
    </row>
    <row r="71" ht="15.75" customHeight="1">
      <c r="A71" s="17">
        <v>4.0</v>
      </c>
      <c r="B71" s="12">
        <f t="shared" ref="B71:I71" si="32">B57+B58</f>
        <v>10.1488963</v>
      </c>
      <c r="C71" s="12">
        <f t="shared" si="32"/>
        <v>20.2977928</v>
      </c>
      <c r="D71" s="12">
        <f t="shared" si="32"/>
        <v>70.119647</v>
      </c>
      <c r="E71" s="12">
        <f t="shared" si="32"/>
        <v>78.8846027</v>
      </c>
      <c r="F71" s="12">
        <f t="shared" si="32"/>
        <v>2.3065673</v>
      </c>
      <c r="G71" s="12">
        <f t="shared" si="32"/>
        <v>83.8091655</v>
      </c>
      <c r="H71" s="12">
        <f t="shared" si="32"/>
        <v>265.56667</v>
      </c>
      <c r="I71" s="12">
        <f t="shared" si="32"/>
        <v>179.4509372</v>
      </c>
      <c r="J71" s="12"/>
      <c r="K71" s="17">
        <v>4.0</v>
      </c>
      <c r="L71" s="87">
        <f t="shared" ref="L71:O71" si="33">B71/$I$71</f>
        <v>0.05655527053</v>
      </c>
      <c r="M71" s="87">
        <f t="shared" si="33"/>
        <v>0.1131105422</v>
      </c>
      <c r="N71" s="87">
        <f t="shared" si="33"/>
        <v>0.3907455046</v>
      </c>
      <c r="O71" s="87">
        <f t="shared" si="33"/>
        <v>0.4395886917</v>
      </c>
      <c r="P71" s="87">
        <f t="shared" si="25"/>
        <v>1.000000009</v>
      </c>
      <c r="S71" s="17">
        <v>4.0</v>
      </c>
      <c r="T71" s="87">
        <f t="shared" si="26"/>
        <v>0.1696658127</v>
      </c>
      <c r="U71" s="87">
        <f t="shared" si="27"/>
        <v>0.8303341962</v>
      </c>
      <c r="V71" s="87"/>
      <c r="W71" s="27">
        <f t="shared" ref="W71:X71" si="34">T71*100</f>
        <v>16.96658127</v>
      </c>
      <c r="X71" s="27">
        <f t="shared" si="34"/>
        <v>83.03341962</v>
      </c>
    </row>
    <row r="72" ht="15.75" customHeight="1">
      <c r="A72" s="17" t="s">
        <v>171</v>
      </c>
      <c r="B72" s="12">
        <f t="shared" ref="B72:I72" si="35">B59+B60</f>
        <v>12.4554636</v>
      </c>
      <c r="C72" s="12">
        <f t="shared" si="35"/>
        <v>17.9912251</v>
      </c>
      <c r="D72" s="12">
        <f t="shared" si="35"/>
        <v>48.899228</v>
      </c>
      <c r="E72" s="12">
        <f t="shared" si="35"/>
        <v>85.804304</v>
      </c>
      <c r="F72" s="12">
        <f t="shared" si="35"/>
        <v>1.84525384</v>
      </c>
      <c r="G72" s="12">
        <f t="shared" si="35"/>
        <v>57.664183</v>
      </c>
      <c r="H72" s="12">
        <f t="shared" si="35"/>
        <v>224.659662</v>
      </c>
      <c r="I72" s="12">
        <f t="shared" si="35"/>
        <v>165.1502252</v>
      </c>
      <c r="J72" s="12"/>
      <c r="K72" s="17" t="s">
        <v>171</v>
      </c>
      <c r="L72" s="87">
        <f t="shared" ref="L72:O72" si="36">B72/$I$72</f>
        <v>0.07541899254</v>
      </c>
      <c r="M72" s="87">
        <f t="shared" si="36"/>
        <v>0.1089385442</v>
      </c>
      <c r="N72" s="87">
        <f t="shared" si="36"/>
        <v>0.2960893814</v>
      </c>
      <c r="O72" s="87">
        <f t="shared" si="36"/>
        <v>0.5195530549</v>
      </c>
      <c r="P72" s="87">
        <f t="shared" si="25"/>
        <v>0.999999973</v>
      </c>
      <c r="S72" s="17" t="s">
        <v>171</v>
      </c>
      <c r="T72" s="87">
        <f t="shared" si="26"/>
        <v>0.1843575367</v>
      </c>
      <c r="U72" s="87">
        <f t="shared" si="27"/>
        <v>0.8156424363</v>
      </c>
      <c r="V72" s="87"/>
      <c r="W72" s="27">
        <f t="shared" ref="W72:X72" si="37">T72*100</f>
        <v>18.43575367</v>
      </c>
      <c r="X72" s="27">
        <f t="shared" si="37"/>
        <v>81.56424363</v>
      </c>
    </row>
    <row r="73" ht="15.75" customHeight="1">
      <c r="B73" s="12">
        <f t="shared" ref="B73:I73" si="38">SUM(B68:B72)</f>
        <v>71.9649002</v>
      </c>
      <c r="C73" s="12">
        <f t="shared" si="38"/>
        <v>122.7093804</v>
      </c>
      <c r="D73" s="12">
        <f t="shared" si="38"/>
        <v>250.9545274</v>
      </c>
      <c r="E73" s="12">
        <f t="shared" si="38"/>
        <v>340.449337</v>
      </c>
      <c r="F73" s="12">
        <f t="shared" si="38"/>
        <v>11.99415013</v>
      </c>
      <c r="G73" s="12">
        <f t="shared" si="38"/>
        <v>734.2611415</v>
      </c>
      <c r="H73" s="12">
        <f t="shared" si="38"/>
        <v>1532.333452</v>
      </c>
      <c r="I73" s="12">
        <f t="shared" si="38"/>
        <v>786.0781604</v>
      </c>
      <c r="J73" s="12"/>
    </row>
    <row r="74" ht="15.75" customHeight="1">
      <c r="B74" s="12"/>
      <c r="C74" s="12"/>
      <c r="D74" s="12"/>
      <c r="E74" s="12"/>
      <c r="F74" s="12"/>
      <c r="G74" s="12"/>
      <c r="H74" s="12"/>
      <c r="I74" s="12"/>
    </row>
    <row r="75" ht="15.75" customHeight="1">
      <c r="B75" s="12"/>
      <c r="C75" s="12"/>
      <c r="D75" s="12"/>
      <c r="E75" s="12"/>
      <c r="F75" s="12"/>
      <c r="G75" s="12"/>
      <c r="H75" s="12"/>
      <c r="I75" s="1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2020-02-05T12:19:23Z</dcterms:created>
  <dc:creator>Micheal Collins UCD</dc:creator>
</cp:coreProperties>
</file>